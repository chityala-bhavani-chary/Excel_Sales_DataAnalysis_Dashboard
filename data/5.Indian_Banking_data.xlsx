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3"/>
  <workbookPr hidePivotFieldList="1"/>
  <mc:AlternateContent xmlns:mc="http://schemas.openxmlformats.org/markup-compatibility/2006">
    <mc:Choice Requires="x15">
      <x15ac:absPath xmlns:x15ac="http://schemas.microsoft.com/office/spreadsheetml/2010/11/ac" url="/Users/bhargavachary/0.Innomatics/3.Adv Excel/"/>
    </mc:Choice>
  </mc:AlternateContent>
  <xr:revisionPtr revIDLastSave="0" documentId="13_ncr:1_{E2571E19-DED0-A24C-9564-0647A1CDB37D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Main DataSet" sheetId="1" r:id="rId1"/>
  </sheets>
  <definedNames>
    <definedName name="Table1">Table2[]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20" roundtripDataChecksum="p3IYnMBNXwVyUuc2qfPNTv5QZM1FL05NUXhKkuQgu1k="/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</calcChain>
</file>

<file path=xl/sharedStrings.xml><?xml version="1.0" encoding="utf-8"?>
<sst xmlns="http://schemas.openxmlformats.org/spreadsheetml/2006/main" count="5018" uniqueCount="1092">
  <si>
    <t>Transaction ID</t>
  </si>
  <si>
    <t>Customer ID</t>
  </si>
  <si>
    <t>Customer Name</t>
  </si>
  <si>
    <t>Account Number</t>
  </si>
  <si>
    <t>Region</t>
  </si>
  <si>
    <t>City</t>
  </si>
  <si>
    <t>Branch Name</t>
  </si>
  <si>
    <t>Account Type</t>
  </si>
  <si>
    <t>Transaction Type</t>
  </si>
  <si>
    <t>Transaction Amount</t>
  </si>
  <si>
    <t>Payment Mode</t>
  </si>
  <si>
    <t>Transaction Date</t>
  </si>
  <si>
    <t>Transaction Status</t>
  </si>
  <si>
    <t>Balance After Txn</t>
  </si>
  <si>
    <t>Is Fraud</t>
  </si>
  <si>
    <t>year_month</t>
  </si>
  <si>
    <t>c906d56a-71d8-4309-80aa-8a668e6dd338</t>
  </si>
  <si>
    <t>Indali Dhingra</t>
  </si>
  <si>
    <t>Central</t>
  </si>
  <si>
    <t>Indore</t>
  </si>
  <si>
    <t>Indore Branch</t>
  </si>
  <si>
    <t>Fixed Deposit</t>
  </si>
  <si>
    <t>Cheque</t>
  </si>
  <si>
    <t>UPI</t>
  </si>
  <si>
    <t>Completed</t>
  </si>
  <si>
    <t>No</t>
  </si>
  <si>
    <t>bdbca5a9-5d6f-4b32-8e2d-c1ec810a57b1</t>
  </si>
  <si>
    <t>Siya Kala</t>
  </si>
  <si>
    <t>East</t>
  </si>
  <si>
    <t>Guwahati</t>
  </si>
  <si>
    <t>Guwahati Branch</t>
  </si>
  <si>
    <t>Recurring Deposit</t>
  </si>
  <si>
    <t>Credit Card</t>
  </si>
  <si>
    <t>1da2b6df-97ce-4e21-8661-e764b63e2541</t>
  </si>
  <si>
    <t>Tejas Rajan</t>
  </si>
  <si>
    <t>West</t>
  </si>
  <si>
    <t>Ahmedabad</t>
  </si>
  <si>
    <t>Ahmedabad Branch</t>
  </si>
  <si>
    <t>Withdrawal</t>
  </si>
  <si>
    <t>Net Banking</t>
  </si>
  <si>
    <t>30ec4db1-c1da-4e6d-a17b-8ac3ed248b37</t>
  </si>
  <si>
    <t>Charita Oza</t>
  </si>
  <si>
    <t>Pune</t>
  </si>
  <si>
    <t>Pune Branch</t>
  </si>
  <si>
    <t>7e2c42ab-e97b-4765-84cc-7615869642b7</t>
  </si>
  <si>
    <t>Daksh Thaman</t>
  </si>
  <si>
    <t>Bhopal</t>
  </si>
  <si>
    <t>Bhopal Branch</t>
  </si>
  <si>
    <t>Deposit</t>
  </si>
  <si>
    <t>Debit Card</t>
  </si>
  <si>
    <t>Pending</t>
  </si>
  <si>
    <t>f6c20666-e23c-41bb-a870-4d16c7379d68</t>
  </si>
  <si>
    <t>Zarna Mammen</t>
  </si>
  <si>
    <t>Online Transfer</t>
  </si>
  <si>
    <t>6c238a7e-487a-419c-895f-95878bc1a52c</t>
  </si>
  <si>
    <t>Ranveer Wable</t>
  </si>
  <si>
    <t>Raipur</t>
  </si>
  <si>
    <t>Raipur Branch</t>
  </si>
  <si>
    <t>bc35e5f4-7c5e-4606-aa23-6d21f8fdc00e</t>
  </si>
  <si>
    <t>Janya Oommen</t>
  </si>
  <si>
    <t>Surat</t>
  </si>
  <si>
    <t>Surat Branch</t>
  </si>
  <si>
    <t>e6d3886e-aca3-43c0-bf91-e8d20f87eca1</t>
  </si>
  <si>
    <t>Pranav Sarraf</t>
  </si>
  <si>
    <t>North</t>
  </si>
  <si>
    <t>Amritsar</t>
  </si>
  <si>
    <t>Amritsar Branch</t>
  </si>
  <si>
    <t>Current</t>
  </si>
  <si>
    <t>e3a56d54-c6b9-40fb-affd-049c92df79ce</t>
  </si>
  <si>
    <t>Arunima Andra</t>
  </si>
  <si>
    <t>Savings</t>
  </si>
  <si>
    <t>f6d81624-e6e6-42d1-8653-88f03bbfb88b</t>
  </si>
  <si>
    <t>Anusha Parmar</t>
  </si>
  <si>
    <t>Nagpur</t>
  </si>
  <si>
    <t>Nagpur Branch</t>
  </si>
  <si>
    <t>ab65a169-4325-491e-9d38-48ef43acc5e5</t>
  </si>
  <si>
    <t>Utkarsh Narain</t>
  </si>
  <si>
    <t>d6f2d03e-286c-462e-8fbd-42ae564d7f34</t>
  </si>
  <si>
    <t>Vanya Patla</t>
  </si>
  <si>
    <t>Patna</t>
  </si>
  <si>
    <t>Patna Branch</t>
  </si>
  <si>
    <t>92093123-ee44-409d-aada-080e179fa528</t>
  </si>
  <si>
    <t>Ayush Bala</t>
  </si>
  <si>
    <t>Lucknow</t>
  </si>
  <si>
    <t>Lucknow Branch</t>
  </si>
  <si>
    <t>4f3c9aea-24f2-4065-98c8-531921030986</t>
  </si>
  <si>
    <t>Nikita Kaur</t>
  </si>
  <si>
    <t>Jabalpur</t>
  </si>
  <si>
    <t>Jabalpur Branch</t>
  </si>
  <si>
    <t>3605051e-c720-4642-8fa2-6812b5f8ad82</t>
  </si>
  <si>
    <t>Bhanumati Balakrishnan</t>
  </si>
  <si>
    <t>South</t>
  </si>
  <si>
    <t>Coimbatore</t>
  </si>
  <si>
    <t>Coimbatore Branch</t>
  </si>
  <si>
    <t>fa5483e6-631d-4a81-ad7e-80ae050dc1a1</t>
  </si>
  <si>
    <t>Anthony Dave</t>
  </si>
  <si>
    <t>31846b44-390e-4af1-a70c-c978ab1efad5</t>
  </si>
  <si>
    <t>Tanveer Kohli</t>
  </si>
  <si>
    <t>Cash</t>
  </si>
  <si>
    <t>54d3834e-67ff-43b6-8cf2-456017b143bb</t>
  </si>
  <si>
    <t>Ekani Dara</t>
  </si>
  <si>
    <t>52c824b7-1470-46e4-b351-74a77fa1c374</t>
  </si>
  <si>
    <t>Jai Tandon</t>
  </si>
  <si>
    <t>aa664390-1628-4b67-8902-862a5929cce2</t>
  </si>
  <si>
    <t>Watika Mistry</t>
  </si>
  <si>
    <t>Kochi</t>
  </si>
  <si>
    <t>Kochi Branch</t>
  </si>
  <si>
    <t>3a37175b-933c-43b8-a644-5acf3afbf2e8</t>
  </si>
  <si>
    <t>Vasatika Johal</t>
  </si>
  <si>
    <t>Chennai</t>
  </si>
  <si>
    <t>Chennai Branch</t>
  </si>
  <si>
    <t>8c0f7bfc-276c-4883-a5e5-cd788f768448</t>
  </si>
  <si>
    <t>Anya Prabhu</t>
  </si>
  <si>
    <t>Failed</t>
  </si>
  <si>
    <t>b52faf7c-e341-43b0-8e93-1e949bb276fa</t>
  </si>
  <si>
    <t>Ekapad Gole</t>
  </si>
  <si>
    <t>4d3c0228-c910-4304-998c-c69bad60908e</t>
  </si>
  <si>
    <t>Sudiksha Chawla</t>
  </si>
  <si>
    <t>e3e408df-8ab2-4af6-8e12-f09158f4b325</t>
  </si>
  <si>
    <t>Varsha Mann</t>
  </si>
  <si>
    <t>923dc3a9-fb94-4e38-994e-24d9474dce07</t>
  </si>
  <si>
    <t>Theodore Chandran</t>
  </si>
  <si>
    <t>1b018e9f-c1d9-4335-9aea-1750e89f2193</t>
  </si>
  <si>
    <t>Edhitha Bhardwaj</t>
  </si>
  <si>
    <t>078ed5ed-d1ed-4dc3-9410-a3fed11a38b4</t>
  </si>
  <si>
    <t>Chandresh Patel</t>
  </si>
  <si>
    <t>5f985d0a-9738-4a30-a647-678e37de19de</t>
  </si>
  <si>
    <t>Janani Muni</t>
  </si>
  <si>
    <t>d3b4166e-2e13-4dd4-9b20-abdcdd79aa5d</t>
  </si>
  <si>
    <t>Shivansh Prabhu</t>
  </si>
  <si>
    <t>Hyderabad</t>
  </si>
  <si>
    <t>Hyderabad Branch</t>
  </si>
  <si>
    <t>a449609b-f5b8-4e98-a9e4-452f564bf33c</t>
  </si>
  <si>
    <t>Aditya Prakash</t>
  </si>
  <si>
    <t>ff59f00c-2f39-4fe2-bab6-ba18ce7b1bb0</t>
  </si>
  <si>
    <t>Ganga Contractor</t>
  </si>
  <si>
    <t>Mumbai</t>
  </si>
  <si>
    <t>Mumbai Branch</t>
  </si>
  <si>
    <t>267b619a-961c-43b1-ade5-663db4cc27b2</t>
  </si>
  <si>
    <t>Rushil Sachdeva</t>
  </si>
  <si>
    <t>c2f4e70f-7fae-4f16-a939-f3a4c40a5cb2</t>
  </si>
  <si>
    <t>Warinder Dada</t>
  </si>
  <si>
    <t>85c907e5-eae9-4ae5-8682-7335efa57459</t>
  </si>
  <si>
    <t>Ekalinga Divan</t>
  </si>
  <si>
    <t>70e4f242-5557-4d3b-8471-dd202db5a3b7</t>
  </si>
  <si>
    <t>Aachal Acharya</t>
  </si>
  <si>
    <t>Chandigarh</t>
  </si>
  <si>
    <t>Chandigarh Branch</t>
  </si>
  <si>
    <t>3c82845a-e21e-41a0-979c-169d33c2fc80</t>
  </si>
  <si>
    <t>Meera Oza</t>
  </si>
  <si>
    <t>Kolkata</t>
  </si>
  <si>
    <t>Kolkata Branch</t>
  </si>
  <si>
    <t>71777708-738b-4a22-8924-677a5afe3d58</t>
  </si>
  <si>
    <t>Reyansh Chauhan</t>
  </si>
  <si>
    <t>62518911-3e4e-49c6-9512-1bfc06323e10</t>
  </si>
  <si>
    <t>Dayita Das</t>
  </si>
  <si>
    <t>Gwalior</t>
  </si>
  <si>
    <t>Gwalior Branch</t>
  </si>
  <si>
    <t>5f6aa3d0-def8-4718-bd70-8b4b1aa7eed5</t>
  </si>
  <si>
    <t>Anthony Comar</t>
  </si>
  <si>
    <t>cff302b1-3087-4ca9-bbb2-ae97e574f2cd</t>
  </si>
  <si>
    <t>Upkaar Goyal</t>
  </si>
  <si>
    <t>Bangalore</t>
  </si>
  <si>
    <t>Bangalore Branch</t>
  </si>
  <si>
    <t>ba36b15c-06cd-4d6e-9643-b0cfe62776ea</t>
  </si>
  <si>
    <t>Barkha Ahluwalia</t>
  </si>
  <si>
    <t>Jaipur</t>
  </si>
  <si>
    <t>Jaipur Branch</t>
  </si>
  <si>
    <t>Reversed</t>
  </si>
  <si>
    <t>fd2a9cf1-c260-474a-bb91-1081a4ad46bd</t>
  </si>
  <si>
    <t>Zehaan Wali</t>
  </si>
  <si>
    <t>23cf92b2-3035-46ac-af8d-fc4e14970d8b</t>
  </si>
  <si>
    <t>Priya Kuruvilla</t>
  </si>
  <si>
    <t>6b8da0f4-ea1d-41c6-9a2c-43b02a799d36</t>
  </si>
  <si>
    <t>Chandani Walia</t>
  </si>
  <si>
    <t>91b14ab8-1c7a-449b-9db4-478f54442982</t>
  </si>
  <si>
    <t>Jack Sridhar</t>
  </si>
  <si>
    <t>Delhi</t>
  </si>
  <si>
    <t>Delhi Branch</t>
  </si>
  <si>
    <t>Yes</t>
  </si>
  <si>
    <t>543768cb-d86a-4628-81cc-f2b1022ca354</t>
  </si>
  <si>
    <t>Advik Natt</t>
  </si>
  <si>
    <t>9cd31713-6d99-4024-a213-95792bc7f88d</t>
  </si>
  <si>
    <t>David Dhaliwal</t>
  </si>
  <si>
    <t>346ce9f0-89d8-48f1-acd1-ed4e8636f0ce</t>
  </si>
  <si>
    <t>Vritti Arora</t>
  </si>
  <si>
    <t>e01dce9a-2b7b-4d91-bd8b-8b37c23211fd</t>
  </si>
  <si>
    <t>Bahadurjit Banerjee</t>
  </si>
  <si>
    <t>c6b86e5e-fd8f-43fc-b48e-afc11df5a541</t>
  </si>
  <si>
    <t>Kamala Dhaliwal</t>
  </si>
  <si>
    <t>bc60740d-e858-4f94-9566-1eef6497bdb8</t>
  </si>
  <si>
    <t>Jagrati Bhattacharyya</t>
  </si>
  <si>
    <t>Bhubaneswar</t>
  </si>
  <si>
    <t>Bhubaneswar Branch</t>
  </si>
  <si>
    <t>cb593236-b3a6-4ed6-af6f-590bd4786b1d</t>
  </si>
  <si>
    <t>Hritik Contractor</t>
  </si>
  <si>
    <t>4d1b7980-a305-408d-b097-e6e8096ebd45</t>
  </si>
  <si>
    <t>Alka Rao</t>
  </si>
  <si>
    <t>03aa27dd-e059-4e85-8505-b961b5a45294</t>
  </si>
  <si>
    <t>Aadhya Naidu</t>
  </si>
  <si>
    <t>391bab10-2f7c-4a05-8810-20c41309d4f9</t>
  </si>
  <si>
    <t>Ekalinga Master</t>
  </si>
  <si>
    <t>18bf3d1a-0cfd-4dd0-b243-96699d7c0148</t>
  </si>
  <si>
    <t>Aishani Sachdev</t>
  </si>
  <si>
    <t>71078ce7-dec7-4fa4-8933-4eca9aedb7f9</t>
  </si>
  <si>
    <t>Gopal Jaggi</t>
  </si>
  <si>
    <t>97a68b99-8cbc-4b28-bb0b-d4ed2c428ddc</t>
  </si>
  <si>
    <t>Manbir Golla</t>
  </si>
  <si>
    <t>663e9152-5f5c-4a5b-b9ef-5393b4b73a12</t>
  </si>
  <si>
    <t>Pooja Banerjee</t>
  </si>
  <si>
    <t>de2147f0-bc82-43b9-9e86-69c024ad0663</t>
  </si>
  <si>
    <t>Unnati Seth</t>
  </si>
  <si>
    <t>fdf4b68c-5590-4498-946b-8efbdc0a31bc</t>
  </si>
  <si>
    <t>Vihaan Chowdhury</t>
  </si>
  <si>
    <t>616fcc8c-56bc-4197-91cb-4b07d92c0fb1</t>
  </si>
  <si>
    <t>Yashoda Choudhury</t>
  </si>
  <si>
    <t>Ranchi</t>
  </si>
  <si>
    <t>Ranchi Branch</t>
  </si>
  <si>
    <t>00fd40bf-bf9d-4bff-993f-60f5eee6bb03</t>
  </si>
  <si>
    <t>Rishi Desai</t>
  </si>
  <si>
    <t>e6d0967c-f9d5-4e46-9f87-d564b671d413</t>
  </si>
  <si>
    <t>Garima Ray</t>
  </si>
  <si>
    <t>b34a6f74-ae8f-47ad-924f-86556889d99d</t>
  </si>
  <si>
    <t>Mitali Nigam</t>
  </si>
  <si>
    <t>2673fe87-e626-4a87-8ad7-3a10fa06f4c3</t>
  </si>
  <si>
    <t>Rachana Bansal</t>
  </si>
  <si>
    <t>b2ade9ec-6a44-455e-9378-1cb83e5dd5a2</t>
  </si>
  <si>
    <t>Matthew Ramachandran</t>
  </si>
  <si>
    <t>5f00cf03-ed87-484c-ba6c-eaa36f50bb7b</t>
  </si>
  <si>
    <t>Leela Ramachandran</t>
  </si>
  <si>
    <t>ccbaaeb4-e933-4e31-a0fa-d19de42b0aa6</t>
  </si>
  <si>
    <t>Jonathan Taneja</t>
  </si>
  <si>
    <t>b572bae1-9ed6-4f39-8bbc-059bafa3e368</t>
  </si>
  <si>
    <t>Hema Savant</t>
  </si>
  <si>
    <t>eb06c345-27b2-43fe-8b57-74abfe097181</t>
  </si>
  <si>
    <t>Laksh Naik</t>
  </si>
  <si>
    <t>51989afa-bed1-4325-a13d-95fbac40d879</t>
  </si>
  <si>
    <t>Ati Kalita</t>
  </si>
  <si>
    <t>6b9795cc-f800-41e7-9c05-f0ac55d1061a</t>
  </si>
  <si>
    <t>Warda Jayaraman</t>
  </si>
  <si>
    <t>ddc5a8ef-f22d-4453-84cd-2c189b907453</t>
  </si>
  <si>
    <t>Mekhala Sandhu</t>
  </si>
  <si>
    <t>1e819aad-5b5f-4e14-89a1-cfe9654b06b2</t>
  </si>
  <si>
    <t>Ucchal Deep</t>
  </si>
  <si>
    <t>9b35ff7f-9cff-4443-b980-d80117014e88</t>
  </si>
  <si>
    <t>Vinaya Singhal</t>
  </si>
  <si>
    <t>e9365338-4cc1-4aed-b986-b49160163f0c</t>
  </si>
  <si>
    <t>Isaac Sandal</t>
  </si>
  <si>
    <t>cbfa73b5-c97d-44c6-93c0-1aec270e805e</t>
  </si>
  <si>
    <t>Fitan Memon</t>
  </si>
  <si>
    <t>dc13cf47-0a1a-4aec-b1f4-81d7f5dc3816</t>
  </si>
  <si>
    <t>Mason Contractor</t>
  </si>
  <si>
    <t>80b3645d-74e2-4b56-9238-b906b291f579</t>
  </si>
  <si>
    <t>Kritika Wason</t>
  </si>
  <si>
    <t>488e03e5-d1b1-4069-958d-35616f0b201c</t>
  </si>
  <si>
    <t>Aahana Chahal</t>
  </si>
  <si>
    <t>893027bb-1105-4eb6-83fb-211687351dc0</t>
  </si>
  <si>
    <t>Vansha Rai</t>
  </si>
  <si>
    <t>7c0b8276-4c0c-4323-a876-980051a56c15</t>
  </si>
  <si>
    <t>Isaac Peri</t>
  </si>
  <si>
    <t>3576e0a5-4bd8-4887-921b-e05ad460de03</t>
  </si>
  <si>
    <t>Arin Chandra</t>
  </si>
  <si>
    <t>2983f870-78b7-44b1-b120-75bb4d3e2411</t>
  </si>
  <si>
    <t>Veda Dube</t>
  </si>
  <si>
    <t>609c294f-9192-4233-a3dd-df5fa7a26ec0</t>
  </si>
  <si>
    <t>Rudra Wason</t>
  </si>
  <si>
    <t>fb83ae2e-5fcb-4fbd-a252-2989f8f6d036</t>
  </si>
  <si>
    <t>Yauvani Rama</t>
  </si>
  <si>
    <t>2044b866-4e8f-4e20-8b6f-dc20136edf14</t>
  </si>
  <si>
    <t>Vritti Sabharwal</t>
  </si>
  <si>
    <t>ded29be0-13ca-445c-9df7-ed1134aa78c0</t>
  </si>
  <si>
    <t>Widisha Singhal</t>
  </si>
  <si>
    <t>00f36763-b751-4839-a3c3-06e6ff283c20</t>
  </si>
  <si>
    <t>Jagvi Balay</t>
  </si>
  <si>
    <t>64f9d004-e4bc-450d-85f7-65141003bd81</t>
  </si>
  <si>
    <t>Jagdish Sagar</t>
  </si>
  <si>
    <t>e0dab459-92a9-4cfa-a863-c17c4c2e79d2</t>
  </si>
  <si>
    <t>Orinder Mahajan</t>
  </si>
  <si>
    <t>1eecddea-2c95-41ee-8459-c0c59f8daf8e</t>
  </si>
  <si>
    <t>Tripti Chandran</t>
  </si>
  <si>
    <t>5c1c9ae5-b0a4-42e3-8660-e1fdb1a7d6ae</t>
  </si>
  <si>
    <t>Chandani Mammen</t>
  </si>
  <si>
    <t>de78ca4d-2ed2-44cd-a28f-a94e8ffd1722</t>
  </si>
  <si>
    <t>Wakeeta Sandhu</t>
  </si>
  <si>
    <t>c029cdf7-f81a-4da7-a31e-668415613c29</t>
  </si>
  <si>
    <t>Brinda Minhas</t>
  </si>
  <si>
    <t>908aad90-85d9-47c4-bd58-9f4ea733d8fe</t>
  </si>
  <si>
    <t>Upasna Wadhwa</t>
  </si>
  <si>
    <t>21c1fdd0-3a23-4942-bfa7-af092c88e295</t>
  </si>
  <si>
    <t>Hardik Savant</t>
  </si>
  <si>
    <t>f0cb015d-3171-453b-87ba-5557fbec4e39</t>
  </si>
  <si>
    <t>Vivaan Borra</t>
  </si>
  <si>
    <t>1be9cf2d-8c81-442b-8fd0-c6507395db90</t>
  </si>
  <si>
    <t>Radha Sridhar</t>
  </si>
  <si>
    <t>18bc22b5-59e0-45cd-84ed-d27c46df4a0a</t>
  </si>
  <si>
    <t>Maya Baria</t>
  </si>
  <si>
    <t>e1013214-d963-4673-b04d-89b8cf0abd4f</t>
  </si>
  <si>
    <t>Meera Sibal</t>
  </si>
  <si>
    <t>a88964d9-7341-43b3-806e-e0533e1b41bc</t>
  </si>
  <si>
    <t>Upma Srinivasan</t>
  </si>
  <si>
    <t>e450aa83-9876-4480-ae03-b2982067eac5</t>
  </si>
  <si>
    <t>Jacob Seth</t>
  </si>
  <si>
    <t>105c1746-11cb-46a6-aa58-8f90b2a6a346</t>
  </si>
  <si>
    <t>Lajita Pau</t>
  </si>
  <si>
    <t>7bb92b24-a7c0-4b38-ad91-ee31b5edce8e</t>
  </si>
  <si>
    <t>Isaac Raval</t>
  </si>
  <si>
    <t>f7fb5b22-544f-4ced-8121-9d190905075f</t>
  </si>
  <si>
    <t>Andrew Sani</t>
  </si>
  <si>
    <t>161e1c61-7aee-44af-97d6-641bcf2a8970</t>
  </si>
  <si>
    <t>Tamanna Chandra</t>
  </si>
  <si>
    <t>f9a0a188-3a48-4cef-b2d8-d4b75fddea00</t>
  </si>
  <si>
    <t>Vyanjana Raja</t>
  </si>
  <si>
    <t>52be5da1-8c4d-4670-a08d-6b8be4ae7497</t>
  </si>
  <si>
    <t>Kevin Rege</t>
  </si>
  <si>
    <t>0f8f54ca-9fb9-4785-8647-2468a004fa45</t>
  </si>
  <si>
    <t>Krisha Mammen</t>
  </si>
  <si>
    <t>fd1d3fde-3620-4c8f-b53c-4465a0cba4f6</t>
  </si>
  <si>
    <t>Kavya Sastry</t>
  </si>
  <si>
    <t>4d3fa55a-5762-4e29-ae84-5a66cfed93bd</t>
  </si>
  <si>
    <t>Jagat Hari</t>
  </si>
  <si>
    <t>d51f9b46-f368-4a09-ab13-0c6a18f47dd5</t>
  </si>
  <si>
    <t>Amruta Keer</t>
  </si>
  <si>
    <t>543c5d3a-323f-45ef-b855-f2c77adfbea8</t>
  </si>
  <si>
    <t>Ayushman Ranganathan</t>
  </si>
  <si>
    <t>7fbe0ba5-acbe-412f-a196-c7cc139ca37a</t>
  </si>
  <si>
    <t>Nandini Salvi</t>
  </si>
  <si>
    <t>04245ce4-504e-4b0e-be15-fe6c63669b23</t>
  </si>
  <si>
    <t>Chaaya Cheema</t>
  </si>
  <si>
    <t>31772850-4dc3-45a6-999d-39e5d903c7d4</t>
  </si>
  <si>
    <t>Veer Lalla</t>
  </si>
  <si>
    <t>53280ea1-dd41-4ed1-a9fd-e99721499e1f</t>
  </si>
  <si>
    <t>Daniel Sekhon</t>
  </si>
  <si>
    <t>d88899f6-ddce-4d44-87ff-c5048e5241a4</t>
  </si>
  <si>
    <t>Ethan Gill</t>
  </si>
  <si>
    <t>e3ac2b66-dc49-453f-8c82-8d0bc9c5549a</t>
  </si>
  <si>
    <t>Chanchal Kara</t>
  </si>
  <si>
    <t>0e104293-9725-463a-bc09-87fb54940434</t>
  </si>
  <si>
    <t>Yatan Bandi</t>
  </si>
  <si>
    <t>ab932225-5685-4051-84fe-8db07734d341</t>
  </si>
  <si>
    <t>Turvi Nayak</t>
  </si>
  <si>
    <t>66703732-f532-444b-8d11-2c9a9a2263b2</t>
  </si>
  <si>
    <t>Robert Lal</t>
  </si>
  <si>
    <t>86dc1157-e9fd-4e98-b293-cadc88641d75</t>
  </si>
  <si>
    <t>Bakhshi Kunda</t>
  </si>
  <si>
    <t>fef795f4-082a-4129-81ea-8b6ec2132853</t>
  </si>
  <si>
    <t>Krishna Sarna</t>
  </si>
  <si>
    <t>80d701ba-98a7-4f51-8f3d-0737355f185e</t>
  </si>
  <si>
    <t>Ayush Zachariah</t>
  </si>
  <si>
    <t>6b7f0cf2-9089-45ed-badc-de6c072bcbc9</t>
  </si>
  <si>
    <t>Jeet Chawla</t>
  </si>
  <si>
    <t>8fa3c024-3a65-4814-9736-7a75349817f4</t>
  </si>
  <si>
    <t>Yadavi Wason</t>
  </si>
  <si>
    <t>fde8bf83-3f38-4327-b632-ce0b7418dd05</t>
  </si>
  <si>
    <t>Sanya Jaggi</t>
  </si>
  <si>
    <t>dc920ff0-4476-4233-8a68-d1b76806e11c</t>
  </si>
  <si>
    <t>Jhalak Walia</t>
  </si>
  <si>
    <t>02403cc4-f717-4702-a502-8ca1f809e7ed</t>
  </si>
  <si>
    <t>Ishaan Vaidya</t>
  </si>
  <si>
    <t>ce1ee09b-53e7-433b-8565-78b87cc2a845</t>
  </si>
  <si>
    <t>Amrita Pathak</t>
  </si>
  <si>
    <t>229a2356-98c0-4c9e-a853-4c8b1bb64a48</t>
  </si>
  <si>
    <t>George Sarraf</t>
  </si>
  <si>
    <t>e3df7035-07a3-4750-937f-b203c023b0c9</t>
  </si>
  <si>
    <t>Maanav Madan</t>
  </si>
  <si>
    <t>2c09fcbb-ad28-476d-8970-1ce53adf5133</t>
  </si>
  <si>
    <t>Pavani Sampath</t>
  </si>
  <si>
    <t>866fc4df-4f97-4dea-9576-0a0c5b3c3219</t>
  </si>
  <si>
    <t>Bimala Ratta</t>
  </si>
  <si>
    <t>749658d6-ad8b-4977-9798-875258c7e917</t>
  </si>
  <si>
    <t>Siya Sahota</t>
  </si>
  <si>
    <t>1fd55cf2-fd94-4d94-9af8-3edfb4331750</t>
  </si>
  <si>
    <t>Leena Sheth</t>
  </si>
  <si>
    <t>dc665109-864f-479e-817b-1b24c049abe3</t>
  </si>
  <si>
    <t>Advay Tripathi</t>
  </si>
  <si>
    <t>f0d6a2c6-b47b-4c4f-8704-ca522dc40164</t>
  </si>
  <si>
    <t>Nathan Kaul</t>
  </si>
  <si>
    <t>a75c3412-f4c8-4590-978c-4a96dd26a8ab</t>
  </si>
  <si>
    <t>Harini Saran</t>
  </si>
  <si>
    <t>4777f9b4-58d1-475a-90b0-145a70b15ac0</t>
  </si>
  <si>
    <t>Simon Raju</t>
  </si>
  <si>
    <t>82bd9c31-9b2b-45a9-9919-fe6ba777f73f</t>
  </si>
  <si>
    <t>Falan Ravi</t>
  </si>
  <si>
    <t>04846856-a1c8-410e-a7e5-2906406e8941</t>
  </si>
  <si>
    <t>Megha Raja</t>
  </si>
  <si>
    <t>07c96aad-61bf-4626-a9ae-0a34209494c7</t>
  </si>
  <si>
    <t>Zilmil Solanki</t>
  </si>
  <si>
    <t>d0d15529-e4f3-43a9-b304-54053e16aa01</t>
  </si>
  <si>
    <t>Pahal Shroff</t>
  </si>
  <si>
    <t>24baa7b0-5391-46ab-94ca-b5583a41af18</t>
  </si>
  <si>
    <t>Thomas Rattan</t>
  </si>
  <si>
    <t>d983e39e-6827-42f2-b347-d58adf3a80ac</t>
  </si>
  <si>
    <t>Radha Borde</t>
  </si>
  <si>
    <t>d81a0385-2d54-4be8-9e57-1f87684e76bd</t>
  </si>
  <si>
    <t>Eta Venkataraman</t>
  </si>
  <si>
    <t>8ef8c848-20b8-4493-985c-24f2b925610c</t>
  </si>
  <si>
    <t>Turvi Buch</t>
  </si>
  <si>
    <t>9a2984ac-e042-447f-ac04-e78645b18881</t>
  </si>
  <si>
    <t>Advaith Sankar</t>
  </si>
  <si>
    <t>83402b0a-4b08-4921-b79b-14d50a0be9c2</t>
  </si>
  <si>
    <t>Vrinda Nayak</t>
  </si>
  <si>
    <t>3758eba4-6ac8-417a-8063-60066c461d50</t>
  </si>
  <si>
    <t>Pallavi Bumb</t>
  </si>
  <si>
    <t>274f4733-1b44-40a1-91f5-090c42cd313a</t>
  </si>
  <si>
    <t>Unnati Dugar</t>
  </si>
  <si>
    <t>3bf12f44-d2b7-4a9f-ba2e-a394943bd67d</t>
  </si>
  <si>
    <t>Viraj Bhatia</t>
  </si>
  <si>
    <t>e20739e0-7851-438b-9d11-83e648c78598</t>
  </si>
  <si>
    <t>Mugdha Panchal</t>
  </si>
  <si>
    <t>bab859d6-2e31-4ecb-b3c0-b1d06f0b6a59</t>
  </si>
  <si>
    <t>David Bhakta</t>
  </si>
  <si>
    <t>d63db32e-5451-4226-846b-a0c0bce4885b</t>
  </si>
  <si>
    <t>Laksh Sarin</t>
  </si>
  <si>
    <t>70c6689c-c901-4564-a001-fcc948b02ee9</t>
  </si>
  <si>
    <t>Lajita Malhotra</t>
  </si>
  <si>
    <t>a82d7285-ef5a-495a-8c64-6e5926405552</t>
  </si>
  <si>
    <t>Ucchal Morar</t>
  </si>
  <si>
    <t>114778ff-a257-4de1-9b40-56e31cd83627</t>
  </si>
  <si>
    <t>Hemang Srinivasan</t>
  </si>
  <si>
    <t>025fcb06-3964-4c6a-89f8-eac44e04116e</t>
  </si>
  <si>
    <t>Unni Chander</t>
  </si>
  <si>
    <t>f2667ad3-06c6-4e44-aa86-3ae43c38838a</t>
  </si>
  <si>
    <t>Dhriti Bhatti</t>
  </si>
  <si>
    <t>80a03d5e-643f-4808-b7b1-c4cae624906d</t>
  </si>
  <si>
    <t>Arjun Oza</t>
  </si>
  <si>
    <t>f6f2f9bf-f03f-433e-ab6e-d746131bf851</t>
  </si>
  <si>
    <t>Abhiram Dua</t>
  </si>
  <si>
    <t>d7b4ca6f-776d-4e9a-bfb0-8eeb310841de</t>
  </si>
  <si>
    <t>Banjeet Mahal</t>
  </si>
  <si>
    <t>0979e55f-2627-4240-b1cb-1438376c5179</t>
  </si>
  <si>
    <t>Vasudha Nayar</t>
  </si>
  <si>
    <t>4b101ce1-b9b5-4a30-b259-9c116ce40cfe</t>
  </si>
  <si>
    <t>Daksha Dhawan</t>
  </si>
  <si>
    <t>ffeadd46-0ffa-4a8e-945f-7e44548c9dc9</t>
  </si>
  <si>
    <t>Harini Ravel</t>
  </si>
  <si>
    <t>9151f2c2-7655-411c-9fba-4133ff27b9eb</t>
  </si>
  <si>
    <t>Pranav Dave</t>
  </si>
  <si>
    <t>8d1c1aa5-6de3-487b-a94e-6b2e42444250</t>
  </si>
  <si>
    <t>Faraj Rout</t>
  </si>
  <si>
    <t>71695f06-5705-4689-bb51-16a89ccee2cc</t>
  </si>
  <si>
    <t>Luke Luthra</t>
  </si>
  <si>
    <t>ebec190b-6a64-4f0d-82d6-6ee71a4ab11d</t>
  </si>
  <si>
    <t>Urmi Patla</t>
  </si>
  <si>
    <t>b37a1d58-d951-4dd7-bee5-54879fc9a695</t>
  </si>
  <si>
    <t>Chanakya Dhar</t>
  </si>
  <si>
    <t>0072d9f5-5d55-4b21-bab4-7e9db5443b65</t>
  </si>
  <si>
    <t>Yashodhara Ganesan</t>
  </si>
  <si>
    <t>9f09da20-2fca-4436-9c05-7b04386594d9</t>
  </si>
  <si>
    <t>Ranveer Rout</t>
  </si>
  <si>
    <t>ce934bd4-15e5-494d-aa5d-a43abd4f535e</t>
  </si>
  <si>
    <t>Wakeeta Ratti</t>
  </si>
  <si>
    <t>34d56187-c08e-47ca-afda-4e8766de448f</t>
  </si>
  <si>
    <t>Abhimanyu Sama</t>
  </si>
  <si>
    <t>d3df971f-ca42-4077-86c3-475c12965f7d</t>
  </si>
  <si>
    <t>Lohit Bajwa</t>
  </si>
  <si>
    <t>038466ef-252a-47ce-a87e-71662abc1637</t>
  </si>
  <si>
    <t>Widisha Luthra</t>
  </si>
  <si>
    <t>7d8ada5d-130d-4918-b0b5-6d6ea8edabfa</t>
  </si>
  <si>
    <t>Nandini Borra</t>
  </si>
  <si>
    <t>cb0a5b22-ebde-4c29-a9d1-a7038192cfac</t>
  </si>
  <si>
    <t>Oscar Naidu</t>
  </si>
  <si>
    <t>bbe5d2c6-4408-471b-aef7-9c81c034dd8a</t>
  </si>
  <si>
    <t>Ishanvi Dixit</t>
  </si>
  <si>
    <t>0bc8b463-f65d-4856-9678-0e41337fa409</t>
  </si>
  <si>
    <t>Azaan Kota</t>
  </si>
  <si>
    <t>df7f7ea9-393c-4be3-a7da-184827e7c971</t>
  </si>
  <si>
    <t>Patrick Oommen</t>
  </si>
  <si>
    <t>ca3944e0-0434-4e15-9853-3b4d8ff76c43</t>
  </si>
  <si>
    <t>Turvi Dara</t>
  </si>
  <si>
    <t>31c391b1-54ff-4b98-b7e1-d883dfb2e8f7</t>
  </si>
  <si>
    <t>Aarnav Kant</t>
  </si>
  <si>
    <t>f8d360a4-92d3-482f-ac1e-db9b1e0c7ad6</t>
  </si>
  <si>
    <t>Madhav Shenoy</t>
  </si>
  <si>
    <t>8cdf7735-0f19-4d74-b907-b8634fcbef71</t>
  </si>
  <si>
    <t>Lohit Kurian</t>
  </si>
  <si>
    <t>cd0005e8-48e0-443c-9e75-4d0a01235d95</t>
  </si>
  <si>
    <t>Harsh Nayak</t>
  </si>
  <si>
    <t>18301c0d-a988-4a52-895c-c28e69e89c6f</t>
  </si>
  <si>
    <t>Vasana Srinivas</t>
  </si>
  <si>
    <t>b1a22d3e-dae5-4172-bb8e-234aa505726a</t>
  </si>
  <si>
    <t>Yashawini Handa</t>
  </si>
  <si>
    <t>775fe6a2-57d3-43d2-ab9c-30ac3b2dfd90</t>
  </si>
  <si>
    <t>Timothy Bhagat</t>
  </si>
  <si>
    <t>a7d27da1-6997-450b-b9f2-2ec14730e4fb</t>
  </si>
  <si>
    <t>Zinal Raju</t>
  </si>
  <si>
    <t>6ff23ad4-3477-4f63-886d-92ae7a84daa9</t>
  </si>
  <si>
    <t>Logan Hayre</t>
  </si>
  <si>
    <t>b967b17a-9a8e-4699-9e68-66173240e765</t>
  </si>
  <si>
    <t>Yutika Babu</t>
  </si>
  <si>
    <t>ec72fa74-1baf-4b0f-8dd2-057e4caf2bb9</t>
  </si>
  <si>
    <t>Xavier Varughese</t>
  </si>
  <si>
    <t>8d47240b-470c-4a5e-81e6-2881b806e112</t>
  </si>
  <si>
    <t>Elijah Sen</t>
  </si>
  <si>
    <t>de32ee5c-2963-4b68-9314-37c9510fee55</t>
  </si>
  <si>
    <t>Amrita Baria</t>
  </si>
  <si>
    <t>2e1b58e1-c7b1-4714-925e-0e2c4a339fd9</t>
  </si>
  <si>
    <t>Frederick Prabhakar</t>
  </si>
  <si>
    <t>66a00d9e-7e1e-4b78-af0a-dd80b7ca6a98</t>
  </si>
  <si>
    <t>Amara Chacko</t>
  </si>
  <si>
    <t>64c9873a-351a-4b84-b3b6-d42643bb8437</t>
  </si>
  <si>
    <t>Inaya Prabhakar</t>
  </si>
  <si>
    <t>1533567e-4d20-4132-b86f-0a37f949ebf9</t>
  </si>
  <si>
    <t>Triveni Sanghvi</t>
  </si>
  <si>
    <t>fb2a2ce1-c11d-4710-81a4-1a8984b53b93</t>
  </si>
  <si>
    <t>Jacob Char</t>
  </si>
  <si>
    <t>b9408151-3d66-4ea5-95fa-1f42eb764169</t>
  </si>
  <si>
    <t>Pooja Baral</t>
  </si>
  <si>
    <t>f4181a0c-7a83-49fd-8ddd-b24a02e1d276</t>
  </si>
  <si>
    <t>Harshil Ramaswamy</t>
  </si>
  <si>
    <t>877c8c90-7090-4c6b-a2d5-68a10b5e84e1</t>
  </si>
  <si>
    <t>Charles Devi</t>
  </si>
  <si>
    <t>815e14eb-2098-46d6-bb0d-3339ed33578a</t>
  </si>
  <si>
    <t>Hredhaan Aurora</t>
  </si>
  <si>
    <t>1128e494-1080-4a5e-828c-5aaf607929b5</t>
  </si>
  <si>
    <t>Indrajit Brar</t>
  </si>
  <si>
    <t>aabb59f2-7170-4ec0-bfce-44f002b48f29</t>
  </si>
  <si>
    <t>Eta Zacharia</t>
  </si>
  <si>
    <t>11d601f9-4b5f-488a-a640-674c9e151b0a</t>
  </si>
  <si>
    <t>Henry Ratta</t>
  </si>
  <si>
    <t>863d696a-f19f-4eb7-a47a-9e3f926b0fbf</t>
  </si>
  <si>
    <t>Upasna Dash</t>
  </si>
  <si>
    <t>7197feb1-0e7a-4187-93de-5e7697d34253</t>
  </si>
  <si>
    <t>Janani Saxena</t>
  </si>
  <si>
    <t>0d30f1d0-c566-4826-ad70-7f9f4d6e9881</t>
  </si>
  <si>
    <t>Madhavi Sama</t>
  </si>
  <si>
    <t>d724fb28-9add-4067-9cff-97797130d7e3</t>
  </si>
  <si>
    <t>Advika Sachdev</t>
  </si>
  <si>
    <t>9950064d-b87b-4f55-b0f9-02ee6066147c</t>
  </si>
  <si>
    <t>Chasmum Ganesan</t>
  </si>
  <si>
    <t>ab0e7817-6bb8-4dd9-91c6-9f559f916637</t>
  </si>
  <si>
    <t>Ayush Pai</t>
  </si>
  <si>
    <t>82979aa8-fa0e-497d-b8cd-8b19d74190b3</t>
  </si>
  <si>
    <t>Anthony Bhalla</t>
  </si>
  <si>
    <t>7310682f-d84d-4c3c-a24d-29e40a60ee5a</t>
  </si>
  <si>
    <t>Indrajit Zachariah</t>
  </si>
  <si>
    <t>ceef5660-bdb6-47d2-bfe7-407928ba0309</t>
  </si>
  <si>
    <t>Abhiram Shah</t>
  </si>
  <si>
    <t>6c504093-65a3-4d67-bc20-0a7237e53eea</t>
  </si>
  <si>
    <t>Arin Venkatesh</t>
  </si>
  <si>
    <t>68324606-5422-43fe-a453-66e17793da37</t>
  </si>
  <si>
    <t>Noah Puri</t>
  </si>
  <si>
    <t>ba67980f-f576-4933-b59a-36e560e42740</t>
  </si>
  <si>
    <t>Nilima Dutt</t>
  </si>
  <si>
    <t>c4067a04-c825-416f-9eca-54f777499c5b</t>
  </si>
  <si>
    <t>Eta Divan</t>
  </si>
  <si>
    <t>77323c98-1997-4c10-a66e-558050dc6213</t>
  </si>
  <si>
    <t>Darika Rao</t>
  </si>
  <si>
    <t>285da30d-334e-46dd-a647-627a5d6d0c1f</t>
  </si>
  <si>
    <t>Chakradhar Nanda</t>
  </si>
  <si>
    <t>85bd577f-a5ae-4860-b903-0a5576e75ce7</t>
  </si>
  <si>
    <t>Jeremiah Wason</t>
  </si>
  <si>
    <t>f70dbb59-c490-4182-903d-6c5793c03458</t>
  </si>
  <si>
    <t>Aarnav Dey</t>
  </si>
  <si>
    <t>6296fb0b-0fea-451b-b564-784f265410a6</t>
  </si>
  <si>
    <t>Kamala Karnik</t>
  </si>
  <si>
    <t>97c34e36-9e4a-49fb-8ba6-c4c6d79ea64d</t>
  </si>
  <si>
    <t>Falguni Mukhopadhyay</t>
  </si>
  <si>
    <t>301b73ed-a5ed-4932-9ff0-dd35b1a7457c</t>
  </si>
  <si>
    <t>Vincent Kara</t>
  </si>
  <si>
    <t>4b20ef1f-2692-43bf-ada8-d664d089f7fb</t>
  </si>
  <si>
    <t>Daksh Deep</t>
  </si>
  <si>
    <t>98bb8adc-733a-4d76-be0f-ab0411063ccc</t>
  </si>
  <si>
    <t>Indrajit Loke</t>
  </si>
  <si>
    <t>894cfd1a-7b61-480c-ab28-bf77784a509e</t>
  </si>
  <si>
    <t>Oni Memon</t>
  </si>
  <si>
    <t>04f69ce1-ead1-480f-b2c5-a99dc650d3b2</t>
  </si>
  <si>
    <t>Rushil Nagarajan</t>
  </si>
  <si>
    <t>85346cb4-fe6c-4c0e-a87b-dfd18517969b</t>
  </si>
  <si>
    <t>Dhriti Batta</t>
  </si>
  <si>
    <t>cd0b6f33-8ad2-4f2b-acbb-a762ea2ec9c0</t>
  </si>
  <si>
    <t>Lakshit Tella</t>
  </si>
  <si>
    <t>4f59e7a5-8175-46dc-af06-b61cd22b3606</t>
  </si>
  <si>
    <t>Simon Bava</t>
  </si>
  <si>
    <t>db684545-7495-414b-9919-1560cb2ea76c</t>
  </si>
  <si>
    <t>Timothy Mitra</t>
  </si>
  <si>
    <t>dac8a6e8-0146-43e8-9a90-8e675f9fbaa8</t>
  </si>
  <si>
    <t>Yashvi Mammen</t>
  </si>
  <si>
    <t>964ede1d-1f81-4d58-86bd-4c328f060ca3</t>
  </si>
  <si>
    <t>Qushi Comar</t>
  </si>
  <si>
    <t>79320d21-8bc4-4e00-85e0-8ce4a4ab42b4</t>
  </si>
  <si>
    <t>Ekanta Goel</t>
  </si>
  <si>
    <t>b9b81ddb-0c70-476f-be60-f67e451e0090</t>
  </si>
  <si>
    <t>Deepa Om</t>
  </si>
  <si>
    <t>491fc7cd-9009-41e2-9f2c-c5aaff219d75</t>
  </si>
  <si>
    <t>Jyoti Ravi</t>
  </si>
  <si>
    <t>03fc22d3-0e5a-4c71-aacc-4b5588d20b7b</t>
  </si>
  <si>
    <t>Ekiya Chhabra</t>
  </si>
  <si>
    <t>3e7a498c-9e3a-4b87-8680-5a5436021263</t>
  </si>
  <si>
    <t>Warhi Hayre</t>
  </si>
  <si>
    <t>107bd4a3-9d8e-43ee-a0df-31b57b65eed2</t>
  </si>
  <si>
    <t>Hemang Khare</t>
  </si>
  <si>
    <t>28fa62df-63a8-4908-b601-bffd24303acf</t>
  </si>
  <si>
    <t>Baghyawati Barad</t>
  </si>
  <si>
    <t>edbfa1b1-f134-4e41-81c4-7740805dacd9</t>
  </si>
  <si>
    <t>Jeremiah Sekhon</t>
  </si>
  <si>
    <t>8cd074cb-60ce-4449-ba5d-7751a3b9d2b3</t>
  </si>
  <si>
    <t>Andrew Ganesan</t>
  </si>
  <si>
    <t>94558069-8581-4de5-8fcc-00e3e541e452</t>
  </si>
  <si>
    <t>Teerth Thaman</t>
  </si>
  <si>
    <t>1b09dede-e649-402c-bde0-5bd7576d4ac5</t>
  </si>
  <si>
    <t>Darpan Biswas</t>
  </si>
  <si>
    <t>97cc1ed6-4e33-46b4-9967-65b70079d233</t>
  </si>
  <si>
    <t>Zayyan Naik</t>
  </si>
  <si>
    <t>ee9a24cd-a4e7-4264-9a1f-b39a49aafdd2</t>
  </si>
  <si>
    <t>Aarini Shanker</t>
  </si>
  <si>
    <t>c40c55e5-d888-4870-a6e1-bd7b2dc577b4</t>
  </si>
  <si>
    <t>Lajita Agrawal</t>
  </si>
  <si>
    <t>fed18fd2-9154-45b9-976b-730767ebcd27</t>
  </si>
  <si>
    <t>Siya Narang</t>
  </si>
  <si>
    <t>e8058d57-cc77-4809-8470-462eeb4c4014</t>
  </si>
  <si>
    <t>Lekha Jani</t>
  </si>
  <si>
    <t>f108d82f-7113-4b81-8232-01951f8e8d35</t>
  </si>
  <si>
    <t>Anvi Sarin</t>
  </si>
  <si>
    <t>85f4e337-427e-4971-b55c-109b7de85a86</t>
  </si>
  <si>
    <t>Nimrat Patel</t>
  </si>
  <si>
    <t>7d8c86d0-e566-4bff-a2ef-53a5eb2a8187</t>
  </si>
  <si>
    <t>Qushi Lanka</t>
  </si>
  <si>
    <t>614c74f4-661b-409a-afd5-caf0c779a143</t>
  </si>
  <si>
    <t>Baghyawati Sant</t>
  </si>
  <si>
    <t>ce03b15d-cb11-430c-bbf4-84d3aa6a6355</t>
  </si>
  <si>
    <t>Udarsh Yadav</t>
  </si>
  <si>
    <t>42738895-c3c1-4b52-bb44-636b1d719097</t>
  </si>
  <si>
    <t>Devansh Shanker</t>
  </si>
  <si>
    <t>c2132f8e-95c3-433d-9774-3ea3e32ccba4</t>
  </si>
  <si>
    <t>Darpan Dave</t>
  </si>
  <si>
    <t>8390a471-955f-4080-8301-aa1483fbccad</t>
  </si>
  <si>
    <t>Mugdha Bumb</t>
  </si>
  <si>
    <t>e1eb0ffd-9302-4b1b-8d09-498169aa46be</t>
  </si>
  <si>
    <t>Adweta Mitra</t>
  </si>
  <si>
    <t>eb328eff-d2bd-42e2-bb7f-7b59c49e04dc</t>
  </si>
  <si>
    <t>Inaya Chhabra</t>
  </si>
  <si>
    <t>4dcc110d-2caf-4b29-8e4a-0537e0115862</t>
  </si>
  <si>
    <t>Shaurya Swaminathan</t>
  </si>
  <si>
    <t>78ae1381-a4de-44e2-bbfb-a0e0e753d570</t>
  </si>
  <si>
    <t>Kabir Hegde</t>
  </si>
  <si>
    <t>5849f022-9ec3-413b-b772-7049df075710</t>
  </si>
  <si>
    <t>Tanvi Ahuja</t>
  </si>
  <si>
    <t>eb1a8602-868d-4bd2-996a-8f4d8fbd9943</t>
  </si>
  <si>
    <t>Alexander Nagarajan</t>
  </si>
  <si>
    <t>a1378b36-bfc8-4385-bfa3-012164ee41f1</t>
  </si>
  <si>
    <t>Veda Merchant</t>
  </si>
  <si>
    <t>f207c059-bf5c-4ce6-8b4b-ab7503bd003b</t>
  </si>
  <si>
    <t>Thomas Sidhu</t>
  </si>
  <si>
    <t>a415a509-2303-444d-9939-15847e20e63d</t>
  </si>
  <si>
    <t>Samuel Chanda</t>
  </si>
  <si>
    <t>6aac1c96-7047-4d11-b27d-44944f72e6a8</t>
  </si>
  <si>
    <t>Nidhi Jayaraman</t>
  </si>
  <si>
    <t>af063ceb-893a-4311-86f3-091a59c7647f</t>
  </si>
  <si>
    <t>Eshana Zachariah</t>
  </si>
  <si>
    <t>a905b04c-04aa-4fad-9365-6c56d92f356e</t>
  </si>
  <si>
    <t>Upma Sha</t>
  </si>
  <si>
    <t>ab07f7cf-1b90-4c14-9cbd-f87d2401eb10</t>
  </si>
  <si>
    <t>Ladli Madan</t>
  </si>
  <si>
    <t>f17acc22-46dd-4a03-a09e-66797fc864f2</t>
  </si>
  <si>
    <t>Noah Bawa</t>
  </si>
  <si>
    <t>a59c225b-8bc7-49c5-819b-5f2cd76d52a6</t>
  </si>
  <si>
    <t>Ojasvi Sani</t>
  </si>
  <si>
    <t>0ea3bd1b-a9f6-4ccd-a8e1-90b6a0cbabf8</t>
  </si>
  <si>
    <t>Pranit More</t>
  </si>
  <si>
    <t>7ac9c83a-885d-4904-8023-0c6ff75cfc85</t>
  </si>
  <si>
    <t>Netra Puri</t>
  </si>
  <si>
    <t>c6a6588e-3486-401f-8261-2cfedcf17d9b</t>
  </si>
  <si>
    <t>Anmol Bandi</t>
  </si>
  <si>
    <t>3a02fb56-d851-4da2-a7a2-e7bf539b47c1</t>
  </si>
  <si>
    <t>Kiaan Kuruvilla</t>
  </si>
  <si>
    <t>79dd9b16-3d1e-4196-98e8-42740ba73378</t>
  </si>
  <si>
    <t>Nachiket Sarna</t>
  </si>
  <si>
    <t>319c565a-17ab-4abe-ae39-658ff82398e6</t>
  </si>
  <si>
    <t>Ayushman Nadig</t>
  </si>
  <si>
    <t>8726924e-e736-4152-a600-93f25a82297a</t>
  </si>
  <si>
    <t>Thomas Sundaram</t>
  </si>
  <si>
    <t>45628100-f3f1-4308-a159-4cf27ef61300</t>
  </si>
  <si>
    <t>Gayathri Dugar</t>
  </si>
  <si>
    <t>b8269c51-66e6-41bd-981c-bd21dc71dc12</t>
  </si>
  <si>
    <t>Dhriti Chokshi</t>
  </si>
  <si>
    <t>910546a5-cc88-4186-8343-ce556acd4197</t>
  </si>
  <si>
    <t>Lohit Memon</t>
  </si>
  <si>
    <t>51161d93-6376-4992-8862-8a8f73274de8</t>
  </si>
  <si>
    <t>Baghyawati Kale</t>
  </si>
  <si>
    <t>97268ff9-634c-4609-9b5a-ce1b575d09bf</t>
  </si>
  <si>
    <t>Anya Dasgupta</t>
  </si>
  <si>
    <t>c9d0af20-d50b-46a5-b8b1-9f5a32fa9092</t>
  </si>
  <si>
    <t>Umang Dutt</t>
  </si>
  <si>
    <t>a99bd63e-5258-48d7-9ac8-0c5f02481d68</t>
  </si>
  <si>
    <t>Meghana Vasa</t>
  </si>
  <si>
    <t>0f6a1ea5-9afb-4345-b77d-e7591335d270</t>
  </si>
  <si>
    <t>Urvi Ganesan</t>
  </si>
  <si>
    <t>26ca49c6-d6d4-43b5-99b0-93d06755c7fa</t>
  </si>
  <si>
    <t>Yahvi Nori</t>
  </si>
  <si>
    <t>2c90d6f2-00fb-4e2f-b3ff-5eafcd96f7e9</t>
  </si>
  <si>
    <t>Raghav Lata</t>
  </si>
  <si>
    <t>1a0b103c-7fbf-4d11-8779-c4ed13986aa4</t>
  </si>
  <si>
    <t>Darpan Bose</t>
  </si>
  <si>
    <t>a3f93225-85c6-4a01-b210-ef59d3c352fc</t>
  </si>
  <si>
    <t>Meghana Chaudhry</t>
  </si>
  <si>
    <t>1d92b0c3-2ddc-4ae9-8dd8-8650c3a6239d</t>
  </si>
  <si>
    <t>Damini Mammen</t>
  </si>
  <si>
    <t>5217e86d-17f3-4b6d-b430-f4d08a939a4f</t>
  </si>
  <si>
    <t>Tarak Chahal</t>
  </si>
  <si>
    <t>28f163ec-8016-46b3-bbdb-fd5093ce0ee5</t>
  </si>
  <si>
    <t>Sathvik Banerjee</t>
  </si>
  <si>
    <t>69df0caf-ba2a-4b78-8d72-b6a117af3bd9</t>
  </si>
  <si>
    <t>Nakul Shan</t>
  </si>
  <si>
    <t>20712dae-f3a4-40e9-a123-c5ee6b9c4ac0</t>
  </si>
  <si>
    <t>Gaurangi Chaudhry</t>
  </si>
  <si>
    <t>780dd334-a9fb-4398-9a4e-690436194f52</t>
  </si>
  <si>
    <t>Bachittar Palla</t>
  </si>
  <si>
    <t>6247563c-a13f-4f8e-b730-72c07aff5309</t>
  </si>
  <si>
    <t>Neel Bali</t>
  </si>
  <si>
    <t>4d1cf2c4-ed9a-4802-9646-e8050cf3b564</t>
  </si>
  <si>
    <t>Advika Mall</t>
  </si>
  <si>
    <t>503bb24c-12e6-4a4a-b630-45254f982fac</t>
  </si>
  <si>
    <t>Kai Pandya</t>
  </si>
  <si>
    <t>7b2b0a33-f86e-48d5-b26f-badeb1272990</t>
  </si>
  <si>
    <t>Chatresh Issac</t>
  </si>
  <si>
    <t>8d316704-a9d8-4707-aeb6-57eae4ef9bea</t>
  </si>
  <si>
    <t>Jai Choudhry</t>
  </si>
  <si>
    <t>f9aee4b5-e22d-4fdc-b409-a10666068039</t>
  </si>
  <si>
    <t>Omya Parsa</t>
  </si>
  <si>
    <t>827bc546-1bd0-4e69-9d28-a02c8d851be8</t>
  </si>
  <si>
    <t>Aadhya Sagar</t>
  </si>
  <si>
    <t>36c7f2ab-9aea-4a1e-a1d3-7088ea4dd258</t>
  </si>
  <si>
    <t>Rachana Radhakrishnan</t>
  </si>
  <si>
    <t>b565a4f8-0c8a-496e-8ea7-7f46d05e65d0</t>
  </si>
  <si>
    <t>Abhimanyu Khalsa</t>
  </si>
  <si>
    <t>eeadc24e-4a5b-4d24-8202-a8a9a53cb2fb</t>
  </si>
  <si>
    <t>Rayaan Bhattacharyya</t>
  </si>
  <si>
    <t>71d75907-80c9-41f5-b842-003289bebe2e</t>
  </si>
  <si>
    <t>Varenya Dhaliwal</t>
  </si>
  <si>
    <t>41158a38-4f6f-4e62-8c37-7c7dcc2098ae</t>
  </si>
  <si>
    <t>Aachal Mann</t>
  </si>
  <si>
    <t>53c5db3a-442b-4188-bd5b-6030ee5a95ce</t>
  </si>
  <si>
    <t>Umang Gokhale</t>
  </si>
  <si>
    <t>d04c0b0a-5b7e-448b-a152-29d410b94690</t>
  </si>
  <si>
    <t>Amaira Shankar</t>
  </si>
  <si>
    <t>1ed4f179-4e70-4632-a1d7-13b013cae6b1</t>
  </si>
  <si>
    <t>Ishani Uppal</t>
  </si>
  <si>
    <t>412dc2b3-0f2d-4d77-aa74-fcc63a02fc36</t>
  </si>
  <si>
    <t>Vasana Dhar</t>
  </si>
  <si>
    <t>593947ec-7bdb-40f1-b950-3389b6552447</t>
  </si>
  <si>
    <t>Aradhana Parmar</t>
  </si>
  <si>
    <t>7ca06469-566e-46a0-a598-1e0ef3d4a0aa</t>
  </si>
  <si>
    <t>Divya Din</t>
  </si>
  <si>
    <t>bd06b020-2645-4ba7-b80d-47cc5dbe036a</t>
  </si>
  <si>
    <t>Charan Borra</t>
  </si>
  <si>
    <t>ddb55507-6ba0-4431-9e64-d57118df6bd9</t>
  </si>
  <si>
    <t>Rishi Lanka</t>
  </si>
  <si>
    <t>2b87a63e-fbe7-476c-8276-bd0a8c64d5e7</t>
  </si>
  <si>
    <t>Anthony Balakrishnan</t>
  </si>
  <si>
    <t>6cd4641a-f32d-45db-8c1e-e4b90449a466</t>
  </si>
  <si>
    <t>Naveen Sachdeva</t>
  </si>
  <si>
    <t>276bd213-49b5-4e12-8bdf-bd342c08e899</t>
  </si>
  <si>
    <t>Rudra Ravel</t>
  </si>
  <si>
    <t>9b510770-74b4-4885-83e8-bd821ab5c3a8</t>
  </si>
  <si>
    <t>Krish Nagy</t>
  </si>
  <si>
    <t>f94c66f0-af7b-4f7e-b93e-e9774378ec62</t>
  </si>
  <si>
    <t>Udant Pau</t>
  </si>
  <si>
    <t>c20d3c5d-cfc9-4d09-baac-a0943e64869e</t>
  </si>
  <si>
    <t>Kalpit Prabhakar</t>
  </si>
  <si>
    <t>bd8153b3-3d34-4e8f-9f6c-c4a5983f86b3</t>
  </si>
  <si>
    <t>Lakshmi Batra</t>
  </si>
  <si>
    <t>b00a0588-9356-4146-b0d4-3d5617095547</t>
  </si>
  <si>
    <t>Balhaar Suri</t>
  </si>
  <si>
    <t>7c383cbd-c9c4-4d7e-aec7-4807133a3e27</t>
  </si>
  <si>
    <t>Adweta Rastogi</t>
  </si>
  <si>
    <t>5a8f4c85-e619-4345-8349-71c834b95d95</t>
  </si>
  <si>
    <t>Gavin Sinha</t>
  </si>
  <si>
    <t>fb791d9f-1a8f-4384-a493-f4ef64fb1a21</t>
  </si>
  <si>
    <t>Tristan Bera</t>
  </si>
  <si>
    <t>689659c1-3a5e-4746-b126-ac07f00ae348</t>
  </si>
  <si>
    <t>Vasatika Bhandari</t>
  </si>
  <si>
    <t>15e3d308-d5ba-4b15-a68f-f9d8cae7cc73</t>
  </si>
  <si>
    <t>Jagvi Pillay</t>
  </si>
  <si>
    <t>84f22dec-64f7-4cda-ade6-b84c9568bf4f</t>
  </si>
  <si>
    <t>Manbir Loyal</t>
  </si>
  <si>
    <t>6339dcb1-7a32-4533-a6cd-fa735888be18</t>
  </si>
  <si>
    <t>Banjeet Kadakia</t>
  </si>
  <si>
    <t>009adf0e-3dc7-49ce-b577-e47d4fbe00ef</t>
  </si>
  <si>
    <t>Dhriti Dasgupta</t>
  </si>
  <si>
    <t>2e9baff1-8514-4428-ac60-c36c39659c21</t>
  </si>
  <si>
    <t>Balhaar Chadha</t>
  </si>
  <si>
    <t>0d221bd7-083d-451b-9e03-29d4ffa471c1</t>
  </si>
  <si>
    <t>Brinda Korpal</t>
  </si>
  <si>
    <t>31dd6dfc-8f46-4685-acf9-68d8da1d192a</t>
  </si>
  <si>
    <t>Rudra Dhar</t>
  </si>
  <si>
    <t>9191a41e-7bd2-439a-99d9-2512d4f6a1af</t>
  </si>
  <si>
    <t>Chanchal Trivedi</t>
  </si>
  <si>
    <t>bafd4013-37e5-42b5-8a28-051ed837e6ae</t>
  </si>
  <si>
    <t>Laksh Hayre</t>
  </si>
  <si>
    <t>2d70f9ea-3f64-4e90-a17b-60131f8e5dd9</t>
  </si>
  <si>
    <t>Lekha Sanghvi</t>
  </si>
  <si>
    <t>45e015e9-529a-4dbc-aa22-bd884f862cfb</t>
  </si>
  <si>
    <t>Anjali Sha</t>
  </si>
  <si>
    <t>a9cab964-9c21-4222-a97b-b819189760c8</t>
  </si>
  <si>
    <t>Pooja Dhawan</t>
  </si>
  <si>
    <t>cd8b163a-76af-4fd5-b4db-7ee8c10f2740</t>
  </si>
  <si>
    <t>Kamya Devan</t>
  </si>
  <si>
    <t>22ef1a08-9c7d-4e83-8285-1ed7d239427d</t>
  </si>
  <si>
    <t>Damyanti Sem</t>
  </si>
  <si>
    <t>fd826b0b-4f6b-4196-84fb-35e01ade296e</t>
  </si>
  <si>
    <t>Jagat Palan</t>
  </si>
  <si>
    <t>b842ae50-92ae-4023-bfd9-e63d7e2929f5</t>
  </si>
  <si>
    <t>Nathan Ramanathan</t>
  </si>
  <si>
    <t>c5b0d5c9-86df-49f6-bc07-f803d251b237</t>
  </si>
  <si>
    <t>Pranit Kota</t>
  </si>
  <si>
    <t>fa69c03c-9edd-4473-8121-27f573f16d78</t>
  </si>
  <si>
    <t>Vasatika Bali</t>
  </si>
  <si>
    <t>67de4bfc-4c7f-499e-9a31-4e8237466412</t>
  </si>
  <si>
    <t>Pranav Sastry</t>
  </si>
  <si>
    <t>df53fecd-e53d-4605-98a4-4d72ac476231</t>
  </si>
  <si>
    <t>Niharika Deo</t>
  </si>
  <si>
    <t>b3834752-78e5-4a8d-80a4-5004976b843d</t>
  </si>
  <si>
    <t>Yashvi Tiwari</t>
  </si>
  <si>
    <t>4479e679-a33e-4d38-9d8c-ee4bef857888</t>
  </si>
  <si>
    <t>Harinakshi Sarin</t>
  </si>
  <si>
    <t>82d27e6c-ca21-4345-ad95-1c2d1d8cc2b8</t>
  </si>
  <si>
    <t>Quincy Lata</t>
  </si>
  <si>
    <t>6b11103c-2794-42e9-a431-b9d2a5bc2f58</t>
  </si>
  <si>
    <t>Alexander Bhasin</t>
  </si>
  <si>
    <t>0670a0af-3684-45b5-944c-a1240ad93777</t>
  </si>
  <si>
    <t>Baghyawati Dhar</t>
  </si>
  <si>
    <t>db8a8b09-2360-4782-ad32-0bccb0c3849a</t>
  </si>
  <si>
    <t>Amaira Kumer</t>
  </si>
  <si>
    <t>46887369-ea19-4d02-9272-c1079149f484</t>
  </si>
  <si>
    <t>Widisha Sharaf</t>
  </si>
  <si>
    <t>008941c4-8a49-4825-83dd-0454dd44f0eb</t>
  </si>
  <si>
    <t>Tanveer Amble</t>
  </si>
  <si>
    <t>a49f7c15-53ca-40fa-a6d4-fd6ec24ac5a4</t>
  </si>
  <si>
    <t>Balveer Mitra</t>
  </si>
  <si>
    <t>c64fc8d9-5ddb-4bfb-9893-3df6ffba70ff</t>
  </si>
  <si>
    <t>Ekani Tandon</t>
  </si>
  <si>
    <t>2b38f268-060f-4ee7-aaed-715627975c3c</t>
  </si>
  <si>
    <t>Kavya Sharaf</t>
  </si>
  <si>
    <t>d01f2f12-3fbf-4df7-be53-ecfd417f9f81</t>
  </si>
  <si>
    <t>Anmol Uppal</t>
  </si>
  <si>
    <t>d8661fb5-0a6d-4308-ba8b-3206239f7053</t>
  </si>
  <si>
    <t>Xavier Basu</t>
  </si>
  <si>
    <t>f0854809-469d-4aa2-8877-57ce3be1ae32</t>
  </si>
  <si>
    <t>Owen Bedi</t>
  </si>
  <si>
    <t>4b910742-e1a3-445b-a49c-c35dbc224f18</t>
  </si>
  <si>
    <t>Eiravati Seshadri</t>
  </si>
  <si>
    <t>18e83ed5-fb9f-47d6-8d6f-e21a5f10c760</t>
  </si>
  <si>
    <t>Henry Nigam</t>
  </si>
  <si>
    <t>c0f7f61f-19f4-424c-8e8b-abc5cf179dee</t>
  </si>
  <si>
    <t>Hemani Dutta</t>
  </si>
  <si>
    <t>5c87a320-c89c-4674-8502-f6511e18df66</t>
  </si>
  <si>
    <t>Yasti Nayak</t>
  </si>
  <si>
    <t>ac69a0e2-05d0-4c12-986a-f858525e8ea5</t>
  </si>
  <si>
    <t>Balendra Dalal</t>
  </si>
  <si>
    <t>d45f6bc3-afa4-4393-aec4-14d5861812f6</t>
  </si>
  <si>
    <t>Lekha Karnik</t>
  </si>
  <si>
    <t>3dc46824-4258-4f52-9f0d-83fc957e1dac</t>
  </si>
  <si>
    <t>Brinda Desai</t>
  </si>
  <si>
    <t>41e87e1b-efd7-416a-80e8-0ad3fd1b51b5</t>
  </si>
  <si>
    <t>Elijah Basak</t>
  </si>
  <si>
    <t>ecc98c30-bce3-4ea5-9468-d5079d20c6ab</t>
  </si>
  <si>
    <t>Barkha Naidu</t>
  </si>
  <si>
    <t>921d94f9-6659-46af-8cf0-a625f5832354</t>
  </si>
  <si>
    <t>Yachana Mitra</t>
  </si>
  <si>
    <t>0a9ba1d9-8997-4fd8-b708-3e212e9d1bf8</t>
  </si>
  <si>
    <t>Raksha Kari</t>
  </si>
  <si>
    <t>da04b4a4-bd1a-47fc-a0c3-e49f80474726</t>
  </si>
  <si>
    <t>Ikshita Kakar</t>
  </si>
  <si>
    <t>58ba2c7d-a5c8-4c65-92cf-502984a4d920</t>
  </si>
  <si>
    <t>Gaurika Bora</t>
  </si>
  <si>
    <t>43ab919b-075d-468c-9289-c249ab26e303</t>
  </si>
  <si>
    <t>Aachal Dugar</t>
  </si>
  <si>
    <t>71fe5e20-3b03-4d71-a19c-7b01e72b2060</t>
  </si>
  <si>
    <t>Anjali Goel</t>
  </si>
  <si>
    <t>c01df7b7-8d57-49be-a6c3-da9ec76c57b9</t>
  </si>
  <si>
    <t>Fitan Sane</t>
  </si>
  <si>
    <t>45b01479-6eff-4cee-a2f9-696058ad7009</t>
  </si>
  <si>
    <t>Anusha Vora</t>
  </si>
  <si>
    <t>ffa190dc-c994-4c45-a1eb-cb209b2ebbb1</t>
  </si>
  <si>
    <t>Dayita Ramaswamy</t>
  </si>
  <si>
    <t>ba8cc2a0-72f9-4af0-a25c-10dc5fb46723</t>
  </si>
  <si>
    <t>Nitesh Dixit</t>
  </si>
  <si>
    <t>07cb6eb5-2458-481f-a7aa-f9a008ee50fd</t>
  </si>
  <si>
    <t>Urmi Mand</t>
  </si>
  <si>
    <t>83d5d145-91fd-4284-85fb-df20b2bd9cda</t>
  </si>
  <si>
    <t>Nikita Bahl</t>
  </si>
  <si>
    <t>82a3acd6-51f2-4f4f-afba-7466d0e26900</t>
  </si>
  <si>
    <t>Krishna Sangha</t>
  </si>
  <si>
    <t>6c097541-7505-4d8e-af7c-e03109afddaa</t>
  </si>
  <si>
    <t>Geetika Dewan</t>
  </si>
  <si>
    <t>b4a94ddf-a56e-40d7-9e50-dacb94568608</t>
  </si>
  <si>
    <t>Triya Tailor</t>
  </si>
  <si>
    <t>9f850170-6285-4c62-8ae0-bf705d906b8c</t>
  </si>
  <si>
    <t>Vedhika Kaur</t>
  </si>
  <si>
    <t>e5f5ef5d-f9d7-4c25-b368-522839d0d5a6</t>
  </si>
  <si>
    <t>Chanchal Sundaram</t>
  </si>
  <si>
    <t>c68b06d9-e5db-4c81-b415-199c0ce1e958</t>
  </si>
  <si>
    <t>Shivani Anne</t>
  </si>
  <si>
    <t>1beec98a-5e6d-41bd-90ce-bff81349e433</t>
  </si>
  <si>
    <t>Ucchal Char</t>
  </si>
  <si>
    <t>2f938a4a-693c-48b0-82e4-cae33ae1b44f</t>
  </si>
  <si>
    <t>Dhruv Koshy</t>
  </si>
  <si>
    <t>f824ccb4-9a6a-4f97-9580-1034366e2254</t>
  </si>
  <si>
    <t>Yatan Kumar</t>
  </si>
  <si>
    <t>92f91276-98fd-4323-9cc3-afc6807a3ebd</t>
  </si>
  <si>
    <t>Udarsh Gill</t>
  </si>
  <si>
    <t>7d162873-fca8-4ed0-9f5c-e105f362e46a</t>
  </si>
  <si>
    <t>Chanakya Bora</t>
  </si>
  <si>
    <t>5aa1aec2-a038-4355-83f0-766de52a326e</t>
  </si>
  <si>
    <t>Harinakshi Dhillon</t>
  </si>
  <si>
    <t>d35f18d6-9da9-4d7f-ac7e-5ec8d4a166b0</t>
  </si>
  <si>
    <t>Yash Dayal</t>
  </si>
  <si>
    <t>5c7282bd-5c83-47cb-b193-af980aef3d40</t>
  </si>
  <si>
    <t>Warinder Mitra</t>
  </si>
  <si>
    <t>299447f2-980a-4320-87c1-ab9507c9a31b</t>
  </si>
  <si>
    <t>Arunima Babu</t>
  </si>
  <si>
    <t>ca2ee6e5-d177-4a9b-b721-0f121c1465e3</t>
  </si>
  <si>
    <t>Hardik Kuruvilla</t>
  </si>
  <si>
    <t>a12a3df2-5748-41ab-900b-21406907274b</t>
  </si>
  <si>
    <t>Ishanvi Sandhu</t>
  </si>
  <si>
    <t>ba5a48d2-0a03-4ce2-abfe-2bb9430b4091</t>
  </si>
  <si>
    <t>Kabir Dass</t>
  </si>
  <si>
    <t>275c623b-a695-4b65-9a15-9bd3840423af</t>
  </si>
  <si>
    <t>Yoshita Sangha</t>
  </si>
  <si>
    <t>c3e92ea6-7f4d-4809-9b6b-484eb4becf16</t>
  </si>
  <si>
    <t>Aditya Pai</t>
  </si>
  <si>
    <t>efb38392-57e0-4184-993e-c125541e0ec1</t>
  </si>
  <si>
    <t>Unnati Singh</t>
  </si>
  <si>
    <t>9d35eeff-099b-46b0-bc79-ab84a4d619a1</t>
  </si>
  <si>
    <t>Radhika Sharaf</t>
  </si>
  <si>
    <t>92f1d852-4efa-4885-aaf6-807bcd973ff3</t>
  </si>
  <si>
    <t>Diya Babu</t>
  </si>
  <si>
    <t>0451a136-3810-4056-b1b4-c2231fd8d1bf</t>
  </si>
  <si>
    <t>Jyoti Bansal</t>
  </si>
  <si>
    <t>6bbd4eef-0271-42d5-ae26-5876c703d8a7</t>
  </si>
  <si>
    <t>Abeer Chandran</t>
  </si>
  <si>
    <t>9e2ffa47-be09-480b-8f00-e296267559c2</t>
  </si>
  <si>
    <t>Radha Viswanathan</t>
  </si>
  <si>
    <t>44640ef4-7388-473f-a132-c5cf461a1083</t>
  </si>
  <si>
    <t>Christopher Dhawan</t>
  </si>
  <si>
    <t>30b2b1bc-53e4-4de2-ac35-e90bd0f8a513</t>
  </si>
  <si>
    <t>Bhavani Ahluwalia</t>
  </si>
  <si>
    <t>4a508b4e-5255-4703-aa67-84374ea274fe</t>
  </si>
  <si>
    <t>Niharika Lata</t>
  </si>
  <si>
    <t>21daae4d-64ee-43d4-8ebe-e1176c58d50c</t>
  </si>
  <si>
    <t>Samuel Sama</t>
  </si>
  <si>
    <t>7dfbe37a-bdb3-4296-a581-83ac2f6e0c7f</t>
  </si>
  <si>
    <t>Samaksh Chatterjee</t>
  </si>
  <si>
    <t>dafddca5-a61e-46bd-a833-5319fb782d14</t>
  </si>
  <si>
    <t>Janaki Modi</t>
  </si>
  <si>
    <t>4d8c6406-8f65-46e9-9e65-5ac10a362dda</t>
  </si>
  <si>
    <t>Akshay Gera</t>
  </si>
  <si>
    <t>324c1fbc-8279-41eb-86c1-c52a62f0e37f</t>
  </si>
  <si>
    <t>Madhavi Rastogi</t>
  </si>
  <si>
    <t>962ec764-d6a1-4c61-bb31-b4f8886fc725</t>
  </si>
  <si>
    <t>Vyanjana Kapoor</t>
  </si>
  <si>
    <t>b68cce68-c2f3-47bf-b690-6ac34f32d961</t>
  </si>
  <si>
    <t>Mitesh Deep</t>
  </si>
  <si>
    <t>a7655a63-d6d3-4da8-afe9-3dc5dd2f31fd</t>
  </si>
  <si>
    <t>Kamya Rao</t>
  </si>
  <si>
    <t>1a4c4034-6388-40d0-b167-546b517312b8</t>
  </si>
  <si>
    <t>Megha Rau</t>
  </si>
  <si>
    <t>614c50b6-92ab-4a04-a782-8c4d424b0269</t>
  </si>
  <si>
    <t>Indrajit Rai</t>
  </si>
  <si>
    <t>a58f0802-524f-4a3f-ac24-b6a9e20dc3d2</t>
  </si>
  <si>
    <t>Charita Devan</t>
  </si>
  <si>
    <t>5810674f-451a-499e-ad42-c7f1a001e9f1</t>
  </si>
  <si>
    <t>Finn Shere</t>
  </si>
  <si>
    <t>a334f6ff-bf50-427b-843b-c8438970f3de</t>
  </si>
  <si>
    <t>Azaan Rai</t>
  </si>
  <si>
    <t>278f287f-bd53-467d-b15e-664b651afb6b</t>
  </si>
  <si>
    <t>Saumya Nayar</t>
  </si>
  <si>
    <t>dd6b57d8-c749-4cf0-844a-97e9621c3065</t>
  </si>
  <si>
    <t>Qarin Sarin</t>
  </si>
  <si>
    <t>822cfe1d-8c4e-4e82-9ca4-a4fa7a114b8b</t>
  </si>
  <si>
    <t>Theodore Chatterjee</t>
  </si>
  <si>
    <t>803f1543-4af1-46b4-87c9-c259bc66a2b4</t>
  </si>
  <si>
    <t>Vasudha Amble</t>
  </si>
  <si>
    <t>28edf12c-70c0-4170-8a96-1ac84fc06802</t>
  </si>
  <si>
    <t>Patrick Ghosh</t>
  </si>
  <si>
    <t>be8cba25-6b12-4f09-9d92-4b19f51fb456</t>
  </si>
  <si>
    <t>Dayita Choudhry</t>
  </si>
  <si>
    <t>3cee997a-53a8-4b6a-9615-9ad3b54a9bd1</t>
  </si>
  <si>
    <t>Vasudha Devan</t>
  </si>
  <si>
    <t>f9a510c1-b499-4c30-8a72-14a4ce464b75</t>
  </si>
  <si>
    <t>Aishani Vyas</t>
  </si>
  <si>
    <t>f7f95628-7c4b-43cf-9d5e-7e7953b824ae</t>
  </si>
  <si>
    <t>Madhavi Singhal</t>
  </si>
  <si>
    <t>1b8301b2-7274-406a-8194-791d8161de7a</t>
  </si>
  <si>
    <t>Ubika Nath</t>
  </si>
  <si>
    <t>c08c6094-ae34-4278-90fb-db662f456223</t>
  </si>
  <si>
    <t>Dalbir Mangal</t>
  </si>
  <si>
    <t>c2a3120c-c1d5-4bad-a056-afc547404e11</t>
  </si>
  <si>
    <t>Zaitra Mohan</t>
  </si>
  <si>
    <t>96b75d8a-2708-4526-a962-c87d5b739009</t>
  </si>
  <si>
    <t>Ishanvi Mishra</t>
  </si>
  <si>
    <t>fd5222a7-1493-463d-bf80-88e383187034</t>
  </si>
  <si>
    <t>Om Johal</t>
  </si>
  <si>
    <t>b684b3bd-57d3-4e8a-87a2-241e524ca14d</t>
  </si>
  <si>
    <t>Vasatika Suresh</t>
  </si>
  <si>
    <t>11e72490-3699-434a-bb21-38b0a3320051</t>
  </si>
  <si>
    <t>Amara Agate</t>
  </si>
  <si>
    <t>6aacfcd4-c667-4557-87e5-8fcbf54322b5</t>
  </si>
  <si>
    <t>Vedant Parmar</t>
  </si>
  <si>
    <t>2204036d-6739-42de-bdeb-4b9459aeef44</t>
  </si>
  <si>
    <t>Shivani Soman</t>
  </si>
  <si>
    <t>2573febb-0a69-42fb-96f7-f33d0bc33238</t>
  </si>
  <si>
    <t>Abeer Nigam</t>
  </si>
  <si>
    <t>776fc75a-cbb9-4415-903e-2275e1ec2e11</t>
  </si>
  <si>
    <t>Nathaniel D’Alia</t>
  </si>
  <si>
    <t>5d633d05-bbd6-483e-9ab2-d85323cbd9f5</t>
  </si>
  <si>
    <t>Rishi Sachdeva</t>
  </si>
  <si>
    <t>5c9515b7-88be-4163-91ed-0b7522fe5cbe</t>
  </si>
  <si>
    <t>Ekalinga Balasubramanian</t>
  </si>
  <si>
    <t>9e976906-2364-4658-a3db-4aa509549217</t>
  </si>
  <si>
    <t>Bhavani Sahota</t>
  </si>
  <si>
    <t>5d3fca97-da26-4ce7-a2ac-303bb77b62a6</t>
  </si>
  <si>
    <t>Oscar Sodhi</t>
  </si>
  <si>
    <t>c617e071-9666-42b1-9ff2-1d13e7eadffc</t>
  </si>
  <si>
    <t>Sanaya Hayer</t>
  </si>
  <si>
    <t>b8034076-889f-40d0-89bb-bd0ff50badd4</t>
  </si>
  <si>
    <t>Oscar Chopra</t>
  </si>
  <si>
    <t>8d82e0ff-d498-41f5-abc8-d0d51a90acaa</t>
  </si>
  <si>
    <t>Fitan Batra</t>
  </si>
  <si>
    <t>05a098d9-d5a6-4e18-a943-93cdceb70263</t>
  </si>
  <si>
    <t>Om Master</t>
  </si>
  <si>
    <t>4eeb1037-a7dd-435e-beb4-fae724bd1d5b</t>
  </si>
  <si>
    <t>Bhavya Dugal</t>
  </si>
  <si>
    <t>7bf7ebb0-3e5a-48c4-a756-177f2b07de97</t>
  </si>
  <si>
    <t>Girish Karnik</t>
  </si>
  <si>
    <t>cea65048-a10c-450b-972e-ea0a14ce51b1</t>
  </si>
  <si>
    <t>Janaki Chhabra</t>
  </si>
  <si>
    <t>5339e31f-09e6-4e7f-8ab3-078df30e1ff7</t>
  </si>
  <si>
    <t>Shaurya Modi</t>
  </si>
  <si>
    <t>5b5896b2-9985-49a2-893d-5e4f9f7e5b6c</t>
  </si>
  <si>
    <t>Vanya Bhavsar</t>
  </si>
  <si>
    <t>85e31ce3-4e7f-4658-8ebc-d7526a417289</t>
  </si>
  <si>
    <t>Isha Majumdar</t>
  </si>
  <si>
    <t>72a7fb77-95af-4050-9c7a-b64e0b631f39</t>
  </si>
  <si>
    <t>Rachana Nigam</t>
  </si>
  <si>
    <t>7bde290d-4d03-4d38-bb02-5f405e687da4</t>
  </si>
  <si>
    <t>Waida Dora</t>
  </si>
  <si>
    <t>4850650e-6338-41a7-8bf3-44412affd0ed</t>
  </si>
  <si>
    <t>Tara Shukla</t>
  </si>
  <si>
    <t>0f221632-1b39-4bc1-920f-d7a8b0a0f123</t>
  </si>
  <si>
    <t>Chaaya Varty</t>
  </si>
  <si>
    <t>5ad8161e-0e01-4e89-9f7f-51d5ae5badea</t>
  </si>
  <si>
    <t>Arjun Mangal</t>
  </si>
  <si>
    <t>57cd1a24-61ec-4d05-917c-a047cc78fbae</t>
  </si>
  <si>
    <t>Ekiya Wali</t>
  </si>
  <si>
    <t>d9060ba1-b2b9-482a-a7ab-21da16486b2e</t>
  </si>
  <si>
    <t>Aachal Aggarwal</t>
  </si>
  <si>
    <t>cf252f01-63e8-49af-83fe-fe1525ddbb8e</t>
  </si>
  <si>
    <t>Dayita Nayak</t>
  </si>
  <si>
    <t>90692010-3651-4733-a049-dec982fe35c2</t>
  </si>
  <si>
    <t>Ganga Memon</t>
  </si>
  <si>
    <t>5dbe7d28-0511-42a3-b079-b2996c8e992a</t>
  </si>
  <si>
    <t>Harini Hari</t>
  </si>
  <si>
    <t>9e7936d0-467e-4708-8f15-8abd882678c3</t>
  </si>
  <si>
    <t>Vedhika Biswas</t>
  </si>
  <si>
    <t>aa0a8cf8-db4c-4471-8792-3548bb109781</t>
  </si>
  <si>
    <t>Leena Sawhney</t>
  </si>
  <si>
    <t>880e121c-4b2a-434a-85b6-e6c9807790bc</t>
  </si>
  <si>
    <t>Aarini Rai</t>
  </si>
  <si>
    <t>a95c41fe-d268-4188-87d2-1179339422ab</t>
  </si>
  <si>
    <t>Raksha Rao</t>
  </si>
  <si>
    <t>a3320f63-8cba-4550-85b7-2aeaa7d2e0c2</t>
  </si>
  <si>
    <t>Rayaan Nori</t>
  </si>
  <si>
    <t>585d740c-f99b-4c08-a18d-17a2d80fa0aa</t>
  </si>
  <si>
    <t>Utkarsh Mall</t>
  </si>
  <si>
    <t>50d15734-32f1-40cc-b86c-5b07dd415c11</t>
  </si>
  <si>
    <t>Tejas Basu</t>
  </si>
  <si>
    <t>928c9882-695f-4333-80f2-9ef069f30ba6</t>
  </si>
  <si>
    <t>Ijaya Vig</t>
  </si>
  <si>
    <t>0c90ce32-bc89-437b-8a06-575ecca1a9f8</t>
  </si>
  <si>
    <t>Abhimanyu Ravi</t>
  </si>
  <si>
    <t>1754dc94-573b-4cfe-aa4f-8016a39caaa4</t>
  </si>
  <si>
    <t>Xiti Bhatti</t>
  </si>
  <si>
    <t>e514cd44-0315-4c8b-8e8d-185f2fdf4980</t>
  </si>
  <si>
    <t>Edhitha Deshpande</t>
  </si>
  <si>
    <t>445a9325-68cc-4fc4-8d4f-f2bd31767d12</t>
  </si>
  <si>
    <t>Jonathan Bhat</t>
  </si>
  <si>
    <t>ed2aac8e-bdab-4a38-842b-0039618f205a</t>
  </si>
  <si>
    <t>Varsha Vaidya</t>
  </si>
  <si>
    <t>506c992d-ee39-408b-a0c0-edd1e9bc4e48</t>
  </si>
  <si>
    <t>Manthan Subramaniam</t>
  </si>
  <si>
    <t>2085a2e0-3f14-4c83-8faf-381a5570a035</t>
  </si>
  <si>
    <t>Daksha Raj</t>
  </si>
  <si>
    <t>b8ca5912-ff6e-496b-972a-7c7f8e0d5062</t>
  </si>
  <si>
    <t>Advika Dua</t>
  </si>
  <si>
    <t>9893579d-fba5-43fb-85b2-b1189d6bf32a</t>
  </si>
  <si>
    <t>Daksha Kamdar</t>
  </si>
  <si>
    <t>4c2c17fb-57cc-478b-9195-74975d4a9583</t>
  </si>
  <si>
    <t>Ekalinga Bawa</t>
  </si>
  <si>
    <t>d693559f-22c7-4d70-b7d7-1a57dc0eca8e</t>
  </si>
  <si>
    <t>Tristan Brar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</si>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</sst>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theme" Target="theme/theme1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24" Type="http://schemas.openxmlformats.org/officeDocument/2006/relationships/calcChain" Target="calcChain.xml"/><Relationship Id="rId23" Type="http://schemas.openxmlformats.org/officeDocument/2006/relationships/sharedStrings" Target="sharedStrings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D01079-34F0-834A-8AFD-126969B6D2D9}" name="Table2" displayName="Table2" ref="A1:R501" totalsRowShown="0">
  <autoFilter ref="A1:R501" xr:uid="{0ED01079-34F0-834A-8AFD-126969B6D2D9}"/>
  <tableColumns count="18">
    <tableColumn id="1" xr3:uid="{4C9EA82E-29BB-B043-B065-FD97B51CD662}" name="Transaction ID"/>
    <tableColumn id="2" xr3:uid="{648A9885-2502-A947-BE37-DD274D11E3F8}" name="Customer ID"/>
    <tableColumn id="3" xr3:uid="{F6B4840C-9DA2-BE46-A9EF-B8A591BBC397}" name="Customer Name"/>
    <tableColumn id="4" xr3:uid="{E10A3905-8502-7643-8CC6-694D8551EECE}" name="Account Number"/>
    <tableColumn id="5" xr3:uid="{63FC5410-E43E-0E45-8F92-1CD4EDCF0B18}" name="Region"/>
    <tableColumn id="6" xr3:uid="{E2E83BF0-4C16-8F44-A59B-18647E5C7050}" name="City"/>
    <tableColumn id="7" xr3:uid="{852FDFC8-0DF6-8944-9C52-F7368750209E}" name="Branch Name"/>
    <tableColumn id="8" xr3:uid="{781BB273-B1AB-9649-8171-3A63AD75001F}" name="Account Type"/>
    <tableColumn id="9" xr3:uid="{1D826ABB-62E5-134C-8CC2-EA33D10225F1}" name="Transaction Type"/>
    <tableColumn id="10" xr3:uid="{1D95B1AD-BCCD-114B-A7F9-2219F155E86E}" name="Transaction Amount"/>
    <tableColumn id="11" xr3:uid="{93073CB9-3673-2C48-BFDA-EF3D2C03357B}" name="Payment Mode"/>
    <tableColumn id="12" xr3:uid="{71CE9B1B-0E71-5C47-AB4D-83E7C2B35A7E}" name="Transaction Date" dataDxfId="0"/>
    <tableColumn id="13" xr3:uid="{5DC3C77B-87EA-4C4D-859C-EF37AD1B8A93}" name="Transaction Status"/>
    <tableColumn id="14" xr3:uid="{4CDD6832-9C7D-0E4A-B890-CA0FCF49C13D}" name="Balance After Txn"/>
    <tableColumn id="15" xr3:uid="{0720462E-B2AC-0849-8285-F7D2AFC79D72}" name="Is Fraud"/>
    <tableColumn id="16" xr3:uid="{9A1C8428-EDC5-8448-A242-294D107B4A57}" name="Year">
      <calculatedColumnFormula>YEAR('Main DataSet'!$L2)</calculatedColumnFormula>
    </tableColumn>
    <tableColumn id="17" xr3:uid="{384EDA8A-34CC-C34F-833D-32C3A62A5648}" name="Month">
      <calculatedColumnFormula>MONTH('Main DataSet'!$L2)</calculatedColumnFormula>
    </tableColumn>
    <tableColumn id="18" xr3:uid="{41FE7C54-1A0E-0B47-87B8-E1CBC8B9FAA0}" name="year_month">
      <calculatedColumnFormula>TEXT('Main DataSet'!$L2,"MM-YYYY")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zoomScale="89" zoomScaleNormal="100" workbookViewId="0">
      <selection activeCell="C512" sqref="C512"/>
    </sheetView>
  </sheetViews>
  <sheetFormatPr baseColWidth="10" defaultColWidth="14.5" defaultRowHeight="15" customHeight="1" x14ac:dyDescent="0.2"/>
  <cols>
    <col min="1" max="1" width="35.6640625" bestFit="1" customWidth="1"/>
    <col min="2" max="2" width="15.6640625" bestFit="1" customWidth="1"/>
    <col min="3" max="3" width="20.83203125" bestFit="1" customWidth="1"/>
    <col min="4" max="4" width="19.33203125" bestFit="1" customWidth="1"/>
    <col min="5" max="5" width="11.5" bestFit="1" customWidth="1"/>
    <col min="6" max="6" width="11.33203125" bestFit="1" customWidth="1"/>
    <col min="7" max="7" width="17.1640625" bestFit="1" customWidth="1"/>
    <col min="8" max="8" width="16.6640625" bestFit="1" customWidth="1"/>
    <col min="9" max="9" width="19" bestFit="1" customWidth="1"/>
    <col min="10" max="10" width="21.83203125" bestFit="1" customWidth="1"/>
    <col min="11" max="11" width="18" bestFit="1" customWidth="1"/>
    <col min="12" max="12" width="19" bestFit="1" customWidth="1"/>
    <col min="13" max="13" width="20" bestFit="1" customWidth="1"/>
    <col min="14" max="14" width="19.5" bestFit="1" customWidth="1"/>
    <col min="15" max="15" width="12" bestFit="1" customWidth="1"/>
    <col min="16" max="16" width="9.6640625" bestFit="1" customWidth="1"/>
    <col min="17" max="17" width="11.5" bestFit="1" customWidth="1"/>
    <col min="18" max="18" width="15.5" bestFit="1" customWidth="1"/>
    <col min="19" max="25" width="8.66406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1090</v>
      </c>
      <c r="Q1" t="s">
        <v>1091</v>
      </c>
      <c r="R1" t="s">
        <v>15</v>
      </c>
    </row>
    <row r="2" spans="1:18" x14ac:dyDescent="0.2">
      <c r="A2" t="s">
        <v>16</v>
      </c>
      <c r="B2">
        <v>989374</v>
      </c>
      <c r="C2" t="s">
        <v>17</v>
      </c>
      <c r="D2">
        <v>748642976223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489850.94</v>
      </c>
      <c r="K2" t="s">
        <v>23</v>
      </c>
      <c r="L2" s="2">
        <v>45756</v>
      </c>
      <c r="M2" t="s">
        <v>24</v>
      </c>
      <c r="N2">
        <v>2330149</v>
      </c>
      <c r="O2" t="s">
        <v>25</v>
      </c>
      <c r="P2">
        <f>YEAR('Main DataSet'!$L2)</f>
        <v>2025</v>
      </c>
      <c r="Q2">
        <f>MONTH('Main DataSet'!$L2)</f>
        <v>4</v>
      </c>
      <c r="R2" t="str">
        <f>TEXT('Main DataSet'!$L2,"MM-YYYY")</f>
        <v>04-2025</v>
      </c>
    </row>
    <row r="3" spans="1:18" x14ac:dyDescent="0.2">
      <c r="A3" t="s">
        <v>26</v>
      </c>
      <c r="B3">
        <v>945035</v>
      </c>
      <c r="C3" t="s">
        <v>27</v>
      </c>
      <c r="D3">
        <v>163745963749</v>
      </c>
      <c r="E3" t="s">
        <v>28</v>
      </c>
      <c r="F3" t="s">
        <v>29</v>
      </c>
      <c r="G3" t="s">
        <v>30</v>
      </c>
      <c r="H3" t="s">
        <v>31</v>
      </c>
      <c r="I3" t="s">
        <v>22</v>
      </c>
      <c r="J3">
        <v>427397.73</v>
      </c>
      <c r="K3" t="s">
        <v>32</v>
      </c>
      <c r="L3" s="2">
        <v>45228</v>
      </c>
      <c r="M3" t="s">
        <v>24</v>
      </c>
      <c r="N3">
        <v>1668521.67</v>
      </c>
      <c r="O3" t="s">
        <v>25</v>
      </c>
      <c r="P3">
        <f>YEAR('Main DataSet'!$L3)</f>
        <v>2023</v>
      </c>
      <c r="Q3">
        <f>MONTH('Main DataSet'!$L3)</f>
        <v>10</v>
      </c>
      <c r="R3" t="str">
        <f>TEXT('Main DataSet'!$L3,"MM-YYYY")</f>
        <v>10-2023</v>
      </c>
    </row>
    <row r="4" spans="1:18" x14ac:dyDescent="0.2">
      <c r="A4" t="s">
        <v>33</v>
      </c>
      <c r="B4">
        <v>934360</v>
      </c>
      <c r="C4" t="s">
        <v>34</v>
      </c>
      <c r="D4">
        <v>193406494234</v>
      </c>
      <c r="E4" t="s">
        <v>35</v>
      </c>
      <c r="F4" t="s">
        <v>36</v>
      </c>
      <c r="G4" t="s">
        <v>37</v>
      </c>
      <c r="H4" t="s">
        <v>21</v>
      </c>
      <c r="I4" t="s">
        <v>38</v>
      </c>
      <c r="J4">
        <v>110664.95</v>
      </c>
      <c r="K4" t="s">
        <v>39</v>
      </c>
      <c r="L4" s="2">
        <v>45373</v>
      </c>
      <c r="M4" t="s">
        <v>24</v>
      </c>
      <c r="N4">
        <v>853196.4800000001</v>
      </c>
      <c r="O4" t="s">
        <v>25</v>
      </c>
      <c r="P4">
        <f>YEAR('Main DataSet'!$L4)</f>
        <v>2024</v>
      </c>
      <c r="Q4">
        <f>MONTH('Main DataSet'!$L4)</f>
        <v>3</v>
      </c>
      <c r="R4" t="str">
        <f>TEXT('Main DataSet'!$L4,"MM-YYYY")</f>
        <v>03-2024</v>
      </c>
    </row>
    <row r="5" spans="1:18" x14ac:dyDescent="0.2">
      <c r="A5" t="s">
        <v>40</v>
      </c>
      <c r="B5">
        <v>570696</v>
      </c>
      <c r="C5" t="s">
        <v>41</v>
      </c>
      <c r="D5">
        <v>170817762643</v>
      </c>
      <c r="E5" t="s">
        <v>35</v>
      </c>
      <c r="F5" t="s">
        <v>42</v>
      </c>
      <c r="G5" t="s">
        <v>43</v>
      </c>
      <c r="H5" t="s">
        <v>31</v>
      </c>
      <c r="I5" t="s">
        <v>22</v>
      </c>
      <c r="J5">
        <v>121505.31</v>
      </c>
      <c r="K5" t="s">
        <v>23</v>
      </c>
      <c r="L5" s="2">
        <v>45646</v>
      </c>
      <c r="M5" t="s">
        <v>24</v>
      </c>
      <c r="N5">
        <v>926115.91999999993</v>
      </c>
      <c r="O5" t="s">
        <v>25</v>
      </c>
      <c r="P5">
        <f>YEAR('Main DataSet'!$L5)</f>
        <v>2024</v>
      </c>
      <c r="Q5">
        <f>MONTH('Main DataSet'!$L5)</f>
        <v>12</v>
      </c>
      <c r="R5" t="str">
        <f>TEXT('Main DataSet'!$L5,"MM-YYYY")</f>
        <v>12-2024</v>
      </c>
    </row>
    <row r="6" spans="1:18" x14ac:dyDescent="0.2">
      <c r="A6" t="s">
        <v>44</v>
      </c>
      <c r="B6">
        <v>975319</v>
      </c>
      <c r="C6" t="s">
        <v>45</v>
      </c>
      <c r="D6">
        <v>319075165406</v>
      </c>
      <c r="E6" t="s">
        <v>18</v>
      </c>
      <c r="F6" t="s">
        <v>46</v>
      </c>
      <c r="G6" t="s">
        <v>47</v>
      </c>
      <c r="H6" t="s">
        <v>21</v>
      </c>
      <c r="I6" t="s">
        <v>48</v>
      </c>
      <c r="J6">
        <v>11528.19</v>
      </c>
      <c r="K6" t="s">
        <v>49</v>
      </c>
      <c r="L6" s="2">
        <v>45506</v>
      </c>
      <c r="M6" t="s">
        <v>50</v>
      </c>
      <c r="N6">
        <v>534430.57999999996</v>
      </c>
      <c r="O6" t="s">
        <v>25</v>
      </c>
      <c r="P6">
        <f>YEAR('Main DataSet'!$L6)</f>
        <v>2024</v>
      </c>
      <c r="Q6">
        <f>MONTH('Main DataSet'!$L6)</f>
        <v>8</v>
      </c>
      <c r="R6" t="str">
        <f>TEXT('Main DataSet'!$L6,"MM-YYYY")</f>
        <v>08-2024</v>
      </c>
    </row>
    <row r="7" spans="1:18" x14ac:dyDescent="0.2">
      <c r="A7" t="s">
        <v>51</v>
      </c>
      <c r="B7">
        <v>895736</v>
      </c>
      <c r="C7" t="s">
        <v>52</v>
      </c>
      <c r="D7">
        <v>253605159009</v>
      </c>
      <c r="E7" t="s">
        <v>18</v>
      </c>
      <c r="F7" t="s">
        <v>46</v>
      </c>
      <c r="G7" t="s">
        <v>47</v>
      </c>
      <c r="H7" t="s">
        <v>31</v>
      </c>
      <c r="I7" t="s">
        <v>53</v>
      </c>
      <c r="J7">
        <v>458663.48</v>
      </c>
      <c r="K7" t="s">
        <v>49</v>
      </c>
      <c r="L7" s="2">
        <v>45453</v>
      </c>
      <c r="M7" t="s">
        <v>24</v>
      </c>
      <c r="N7">
        <v>2011952.25</v>
      </c>
      <c r="O7" t="s">
        <v>25</v>
      </c>
      <c r="P7">
        <f>YEAR('Main DataSet'!$L7)</f>
        <v>2024</v>
      </c>
      <c r="Q7">
        <f>MONTH('Main DataSet'!$L7)</f>
        <v>6</v>
      </c>
      <c r="R7" t="str">
        <f>TEXT('Main DataSet'!$L7,"MM-YYYY")</f>
        <v>06-2024</v>
      </c>
    </row>
    <row r="8" spans="1:18" x14ac:dyDescent="0.2">
      <c r="A8" t="s">
        <v>54</v>
      </c>
      <c r="B8">
        <v>390841</v>
      </c>
      <c r="C8" t="s">
        <v>55</v>
      </c>
      <c r="D8">
        <v>945930618441</v>
      </c>
      <c r="E8" t="s">
        <v>18</v>
      </c>
      <c r="F8" t="s">
        <v>56</v>
      </c>
      <c r="G8" t="s">
        <v>57</v>
      </c>
      <c r="H8" t="s">
        <v>21</v>
      </c>
      <c r="I8" t="s">
        <v>53</v>
      </c>
      <c r="J8">
        <v>294460.92</v>
      </c>
      <c r="K8" t="s">
        <v>39</v>
      </c>
      <c r="L8" s="2">
        <v>45577</v>
      </c>
      <c r="M8" t="s">
        <v>24</v>
      </c>
      <c r="N8">
        <v>1713155.09</v>
      </c>
      <c r="O8" t="s">
        <v>25</v>
      </c>
      <c r="P8">
        <f>YEAR('Main DataSet'!$L8)</f>
        <v>2024</v>
      </c>
      <c r="Q8">
        <f>MONTH('Main DataSet'!$L8)</f>
        <v>10</v>
      </c>
      <c r="R8" t="str">
        <f>TEXT('Main DataSet'!$L8,"MM-YYYY")</f>
        <v>10-2024</v>
      </c>
    </row>
    <row r="9" spans="1:18" x14ac:dyDescent="0.2">
      <c r="A9" t="s">
        <v>58</v>
      </c>
      <c r="B9">
        <v>538077</v>
      </c>
      <c r="C9" t="s">
        <v>59</v>
      </c>
      <c r="D9">
        <v>960946735259</v>
      </c>
      <c r="E9" t="s">
        <v>35</v>
      </c>
      <c r="F9" t="s">
        <v>60</v>
      </c>
      <c r="G9" t="s">
        <v>61</v>
      </c>
      <c r="H9" t="s">
        <v>31</v>
      </c>
      <c r="I9" t="s">
        <v>22</v>
      </c>
      <c r="J9">
        <v>70209.02</v>
      </c>
      <c r="K9" t="s">
        <v>49</v>
      </c>
      <c r="L9" s="2">
        <v>45436</v>
      </c>
      <c r="M9" t="s">
        <v>24</v>
      </c>
      <c r="N9">
        <v>1053966.8899999999</v>
      </c>
      <c r="O9" t="s">
        <v>25</v>
      </c>
      <c r="P9">
        <f>YEAR('Main DataSet'!$L9)</f>
        <v>2024</v>
      </c>
      <c r="Q9">
        <f>MONTH('Main DataSet'!$L9)</f>
        <v>5</v>
      </c>
      <c r="R9" t="str">
        <f>TEXT('Main DataSet'!$L9,"MM-YYYY")</f>
        <v>05-2024</v>
      </c>
    </row>
    <row r="10" spans="1:18" x14ac:dyDescent="0.2">
      <c r="A10" t="s">
        <v>62</v>
      </c>
      <c r="B10">
        <v>536413</v>
      </c>
      <c r="C10" t="s">
        <v>63</v>
      </c>
      <c r="D10">
        <v>920065850736</v>
      </c>
      <c r="E10" t="s">
        <v>64</v>
      </c>
      <c r="F10" t="s">
        <v>65</v>
      </c>
      <c r="G10" t="s">
        <v>66</v>
      </c>
      <c r="H10" t="s">
        <v>67</v>
      </c>
      <c r="I10" t="s">
        <v>22</v>
      </c>
      <c r="J10">
        <v>305297.37</v>
      </c>
      <c r="K10" t="s">
        <v>32</v>
      </c>
      <c r="L10" s="2">
        <v>45531</v>
      </c>
      <c r="M10" t="s">
        <v>24</v>
      </c>
      <c r="N10">
        <v>2242547.87</v>
      </c>
      <c r="O10" t="s">
        <v>25</v>
      </c>
      <c r="P10">
        <f>YEAR('Main DataSet'!$L10)</f>
        <v>2024</v>
      </c>
      <c r="Q10">
        <f>MONTH('Main DataSet'!$L10)</f>
        <v>8</v>
      </c>
      <c r="R10" t="str">
        <f>TEXT('Main DataSet'!$L10,"MM-YYYY")</f>
        <v>08-2024</v>
      </c>
    </row>
    <row r="11" spans="1:18" x14ac:dyDescent="0.2">
      <c r="A11" t="s">
        <v>68</v>
      </c>
      <c r="B11">
        <v>706008</v>
      </c>
      <c r="C11" t="s">
        <v>69</v>
      </c>
      <c r="D11">
        <v>246399826650</v>
      </c>
      <c r="E11" t="s">
        <v>18</v>
      </c>
      <c r="F11" t="s">
        <v>56</v>
      </c>
      <c r="G11" t="s">
        <v>57</v>
      </c>
      <c r="H11" t="s">
        <v>70</v>
      </c>
      <c r="I11" t="s">
        <v>48</v>
      </c>
      <c r="J11">
        <v>79976.37</v>
      </c>
      <c r="K11" t="s">
        <v>32</v>
      </c>
      <c r="L11" s="2">
        <v>45273</v>
      </c>
      <c r="M11" t="s">
        <v>24</v>
      </c>
      <c r="N11">
        <v>1766313.5</v>
      </c>
      <c r="O11" t="s">
        <v>25</v>
      </c>
      <c r="P11">
        <f>YEAR('Main DataSet'!$L11)</f>
        <v>2023</v>
      </c>
      <c r="Q11">
        <f>MONTH('Main DataSet'!$L11)</f>
        <v>12</v>
      </c>
      <c r="R11" t="str">
        <f>TEXT('Main DataSet'!$L11,"MM-YYYY")</f>
        <v>12-2023</v>
      </c>
    </row>
    <row r="12" spans="1:18" x14ac:dyDescent="0.2">
      <c r="A12" t="s">
        <v>71</v>
      </c>
      <c r="B12">
        <v>615941</v>
      </c>
      <c r="C12" t="s">
        <v>72</v>
      </c>
      <c r="D12">
        <v>269059820502</v>
      </c>
      <c r="E12" t="s">
        <v>35</v>
      </c>
      <c r="F12" t="s">
        <v>73</v>
      </c>
      <c r="G12" t="s">
        <v>74</v>
      </c>
      <c r="H12" t="s">
        <v>67</v>
      </c>
      <c r="I12" t="s">
        <v>22</v>
      </c>
      <c r="J12">
        <v>426427.56</v>
      </c>
      <c r="K12" t="s">
        <v>49</v>
      </c>
      <c r="L12" s="2">
        <v>45121</v>
      </c>
      <c r="M12" t="s">
        <v>24</v>
      </c>
      <c r="N12">
        <v>836675.46</v>
      </c>
      <c r="O12" t="s">
        <v>25</v>
      </c>
      <c r="P12">
        <f>YEAR('Main DataSet'!$L12)</f>
        <v>2023</v>
      </c>
      <c r="Q12">
        <f>MONTH('Main DataSet'!$L12)</f>
        <v>7</v>
      </c>
      <c r="R12" t="str">
        <f>TEXT('Main DataSet'!$L12,"MM-YYYY")</f>
        <v>07-2023</v>
      </c>
    </row>
    <row r="13" spans="1:18" x14ac:dyDescent="0.2">
      <c r="A13" t="s">
        <v>75</v>
      </c>
      <c r="B13">
        <v>565614</v>
      </c>
      <c r="C13" t="s">
        <v>76</v>
      </c>
      <c r="D13">
        <v>682739590821</v>
      </c>
      <c r="E13" t="s">
        <v>35</v>
      </c>
      <c r="F13" t="s">
        <v>36</v>
      </c>
      <c r="G13" t="s">
        <v>37</v>
      </c>
      <c r="H13" t="s">
        <v>21</v>
      </c>
      <c r="I13" t="s">
        <v>22</v>
      </c>
      <c r="J13">
        <v>484637.66</v>
      </c>
      <c r="K13" t="s">
        <v>39</v>
      </c>
      <c r="L13" s="2">
        <v>45485</v>
      </c>
      <c r="M13" t="s">
        <v>50</v>
      </c>
      <c r="N13">
        <v>1552234.03</v>
      </c>
      <c r="O13" t="s">
        <v>25</v>
      </c>
      <c r="P13">
        <f>YEAR('Main DataSet'!$L13)</f>
        <v>2024</v>
      </c>
      <c r="Q13">
        <f>MONTH('Main DataSet'!$L13)</f>
        <v>7</v>
      </c>
      <c r="R13" t="str">
        <f>TEXT('Main DataSet'!$L13,"MM-YYYY")</f>
        <v>07-2024</v>
      </c>
    </row>
    <row r="14" spans="1:18" x14ac:dyDescent="0.2">
      <c r="A14" t="s">
        <v>77</v>
      </c>
      <c r="B14">
        <v>161024</v>
      </c>
      <c r="C14" t="s">
        <v>78</v>
      </c>
      <c r="D14">
        <v>257920784326</v>
      </c>
      <c r="E14" t="s">
        <v>28</v>
      </c>
      <c r="F14" t="s">
        <v>79</v>
      </c>
      <c r="G14" t="s">
        <v>80</v>
      </c>
      <c r="H14" t="s">
        <v>31</v>
      </c>
      <c r="I14" t="s">
        <v>22</v>
      </c>
      <c r="J14">
        <v>578105.66</v>
      </c>
      <c r="K14" t="s">
        <v>32</v>
      </c>
      <c r="L14" s="2">
        <v>45243</v>
      </c>
      <c r="M14" t="s">
        <v>24</v>
      </c>
      <c r="N14">
        <v>2235418.34</v>
      </c>
      <c r="O14" t="s">
        <v>25</v>
      </c>
      <c r="P14">
        <f>YEAR('Main DataSet'!$L14)</f>
        <v>2023</v>
      </c>
      <c r="Q14">
        <f>MONTH('Main DataSet'!$L14)</f>
        <v>11</v>
      </c>
      <c r="R14" t="str">
        <f>TEXT('Main DataSet'!$L14,"MM-YYYY")</f>
        <v>11-2023</v>
      </c>
    </row>
    <row r="15" spans="1:18" x14ac:dyDescent="0.2">
      <c r="A15" t="s">
        <v>81</v>
      </c>
      <c r="B15">
        <v>915727</v>
      </c>
      <c r="C15" t="s">
        <v>82</v>
      </c>
      <c r="D15">
        <v>866173303309</v>
      </c>
      <c r="E15" t="s">
        <v>64</v>
      </c>
      <c r="F15" t="s">
        <v>83</v>
      </c>
      <c r="G15" t="s">
        <v>84</v>
      </c>
      <c r="H15" t="s">
        <v>70</v>
      </c>
      <c r="I15" t="s">
        <v>48</v>
      </c>
      <c r="J15">
        <v>285270.90000000002</v>
      </c>
      <c r="K15" t="s">
        <v>23</v>
      </c>
      <c r="L15" s="2">
        <v>45837</v>
      </c>
      <c r="M15" t="s">
        <v>24</v>
      </c>
      <c r="N15">
        <v>900185.58000000007</v>
      </c>
      <c r="O15" t="s">
        <v>25</v>
      </c>
      <c r="P15">
        <f>YEAR('Main DataSet'!$L15)</f>
        <v>2025</v>
      </c>
      <c r="Q15">
        <f>MONTH('Main DataSet'!$L15)</f>
        <v>6</v>
      </c>
      <c r="R15" t="str">
        <f>TEXT('Main DataSet'!$L15,"MM-YYYY")</f>
        <v>06-2025</v>
      </c>
    </row>
    <row r="16" spans="1:18" x14ac:dyDescent="0.2">
      <c r="A16" t="s">
        <v>85</v>
      </c>
      <c r="B16">
        <v>330649</v>
      </c>
      <c r="C16" t="s">
        <v>86</v>
      </c>
      <c r="D16">
        <v>725385591832</v>
      </c>
      <c r="E16" t="s">
        <v>18</v>
      </c>
      <c r="F16" t="s">
        <v>87</v>
      </c>
      <c r="G16" t="s">
        <v>88</v>
      </c>
      <c r="H16" t="s">
        <v>67</v>
      </c>
      <c r="I16" t="s">
        <v>22</v>
      </c>
      <c r="J16">
        <v>419114.61</v>
      </c>
      <c r="K16" t="s">
        <v>32</v>
      </c>
      <c r="L16" s="2">
        <v>45158</v>
      </c>
      <c r="M16" t="s">
        <v>24</v>
      </c>
      <c r="N16">
        <v>2296120.29</v>
      </c>
      <c r="O16" t="s">
        <v>25</v>
      </c>
      <c r="P16">
        <f>YEAR('Main DataSet'!$L16)</f>
        <v>2023</v>
      </c>
      <c r="Q16">
        <f>MONTH('Main DataSet'!$L16)</f>
        <v>8</v>
      </c>
      <c r="R16" t="str">
        <f>TEXT('Main DataSet'!$L16,"MM-YYYY")</f>
        <v>08-2023</v>
      </c>
    </row>
    <row r="17" spans="1:18" x14ac:dyDescent="0.2">
      <c r="A17" t="s">
        <v>89</v>
      </c>
      <c r="B17">
        <v>128757</v>
      </c>
      <c r="C17" t="s">
        <v>90</v>
      </c>
      <c r="D17">
        <v>129825978524</v>
      </c>
      <c r="E17" t="s">
        <v>91</v>
      </c>
      <c r="F17" t="s">
        <v>92</v>
      </c>
      <c r="G17" t="s">
        <v>93</v>
      </c>
      <c r="H17" t="s">
        <v>21</v>
      </c>
      <c r="I17" t="s">
        <v>48</v>
      </c>
      <c r="J17">
        <v>179240.17</v>
      </c>
      <c r="K17" t="s">
        <v>49</v>
      </c>
      <c r="L17" s="2">
        <v>45394</v>
      </c>
      <c r="M17" t="s">
        <v>24</v>
      </c>
      <c r="N17">
        <v>1836585.45</v>
      </c>
      <c r="O17" t="s">
        <v>25</v>
      </c>
      <c r="P17">
        <f>YEAR('Main DataSet'!$L17)</f>
        <v>2024</v>
      </c>
      <c r="Q17">
        <f>MONTH('Main DataSet'!$L17)</f>
        <v>4</v>
      </c>
      <c r="R17" t="str">
        <f>TEXT('Main DataSet'!$L17,"MM-YYYY")</f>
        <v>04-2024</v>
      </c>
    </row>
    <row r="18" spans="1:18" x14ac:dyDescent="0.2">
      <c r="A18" t="s">
        <v>94</v>
      </c>
      <c r="B18">
        <v>565942</v>
      </c>
      <c r="C18" t="s">
        <v>95</v>
      </c>
      <c r="D18">
        <v>154877991245</v>
      </c>
      <c r="E18" t="s">
        <v>35</v>
      </c>
      <c r="F18" t="s">
        <v>42</v>
      </c>
      <c r="G18" t="s">
        <v>43</v>
      </c>
      <c r="H18" t="s">
        <v>31</v>
      </c>
      <c r="I18" t="s">
        <v>53</v>
      </c>
      <c r="J18">
        <v>391121.9</v>
      </c>
      <c r="K18" t="s">
        <v>49</v>
      </c>
      <c r="L18" s="2">
        <v>45328</v>
      </c>
      <c r="M18" t="s">
        <v>24</v>
      </c>
      <c r="N18">
        <v>2037513.89</v>
      </c>
      <c r="O18" t="s">
        <v>25</v>
      </c>
      <c r="P18">
        <f>YEAR('Main DataSet'!$L18)</f>
        <v>2024</v>
      </c>
      <c r="Q18">
        <f>MONTH('Main DataSet'!$L18)</f>
        <v>2</v>
      </c>
      <c r="R18" t="str">
        <f>TEXT('Main DataSet'!$L18,"MM-YYYY")</f>
        <v>02-2024</v>
      </c>
    </row>
    <row r="19" spans="1:18" x14ac:dyDescent="0.2">
      <c r="A19" t="s">
        <v>96</v>
      </c>
      <c r="B19">
        <v>367162</v>
      </c>
      <c r="C19" t="s">
        <v>97</v>
      </c>
      <c r="D19">
        <v>246576120553</v>
      </c>
      <c r="E19" t="s">
        <v>28</v>
      </c>
      <c r="F19" t="s">
        <v>79</v>
      </c>
      <c r="G19" t="s">
        <v>80</v>
      </c>
      <c r="H19" t="s">
        <v>21</v>
      </c>
      <c r="I19" t="s">
        <v>48</v>
      </c>
      <c r="J19">
        <v>209237.66</v>
      </c>
      <c r="K19" t="s">
        <v>98</v>
      </c>
      <c r="L19" s="2">
        <v>45452</v>
      </c>
      <c r="M19" t="s">
        <v>24</v>
      </c>
      <c r="N19">
        <v>2140324.83</v>
      </c>
      <c r="O19" t="s">
        <v>25</v>
      </c>
      <c r="P19">
        <f>YEAR('Main DataSet'!$L19)</f>
        <v>2024</v>
      </c>
      <c r="Q19">
        <f>MONTH('Main DataSet'!$L19)</f>
        <v>6</v>
      </c>
      <c r="R19" t="str">
        <f>TEXT('Main DataSet'!$L19,"MM-YYYY")</f>
        <v>06-2024</v>
      </c>
    </row>
    <row r="20" spans="1:18" x14ac:dyDescent="0.2">
      <c r="A20" t="s">
        <v>99</v>
      </c>
      <c r="B20">
        <v>107172</v>
      </c>
      <c r="C20" t="s">
        <v>100</v>
      </c>
      <c r="D20">
        <v>475789086915</v>
      </c>
      <c r="E20" t="s">
        <v>35</v>
      </c>
      <c r="F20" t="s">
        <v>42</v>
      </c>
      <c r="G20" t="s">
        <v>43</v>
      </c>
      <c r="H20" t="s">
        <v>31</v>
      </c>
      <c r="I20" t="s">
        <v>48</v>
      </c>
      <c r="J20">
        <v>208142.17</v>
      </c>
      <c r="K20" t="s">
        <v>49</v>
      </c>
      <c r="L20" s="2">
        <v>45517</v>
      </c>
      <c r="M20" t="s">
        <v>24</v>
      </c>
      <c r="N20">
        <v>1704438.38</v>
      </c>
      <c r="O20" t="s">
        <v>25</v>
      </c>
      <c r="P20">
        <f>YEAR('Main DataSet'!$L20)</f>
        <v>2024</v>
      </c>
      <c r="Q20">
        <f>MONTH('Main DataSet'!$L20)</f>
        <v>8</v>
      </c>
      <c r="R20" t="str">
        <f>TEXT('Main DataSet'!$L20,"MM-YYYY")</f>
        <v>08-2024</v>
      </c>
    </row>
    <row r="21" spans="1:18" ht="15.75" customHeight="1" x14ac:dyDescent="0.2">
      <c r="A21" t="s">
        <v>101</v>
      </c>
      <c r="B21">
        <v>792128</v>
      </c>
      <c r="C21" t="s">
        <v>102</v>
      </c>
      <c r="D21">
        <v>421404337824</v>
      </c>
      <c r="E21" t="s">
        <v>18</v>
      </c>
      <c r="F21" t="s">
        <v>46</v>
      </c>
      <c r="G21" t="s">
        <v>47</v>
      </c>
      <c r="H21" t="s">
        <v>31</v>
      </c>
      <c r="I21" t="s">
        <v>38</v>
      </c>
      <c r="J21">
        <v>109602.66</v>
      </c>
      <c r="K21" t="s">
        <v>32</v>
      </c>
      <c r="L21" s="2">
        <v>45614</v>
      </c>
      <c r="M21" t="s">
        <v>24</v>
      </c>
      <c r="N21">
        <v>1407474.11</v>
      </c>
      <c r="O21" t="s">
        <v>25</v>
      </c>
      <c r="P21">
        <f>YEAR('Main DataSet'!$L21)</f>
        <v>2024</v>
      </c>
      <c r="Q21">
        <f>MONTH('Main DataSet'!$L21)</f>
        <v>11</v>
      </c>
      <c r="R21" t="str">
        <f>TEXT('Main DataSet'!$L21,"MM-YYYY")</f>
        <v>11-2024</v>
      </c>
    </row>
    <row r="22" spans="1:18" ht="15.75" customHeight="1" x14ac:dyDescent="0.2">
      <c r="A22" t="s">
        <v>103</v>
      </c>
      <c r="B22">
        <v>901380</v>
      </c>
      <c r="C22" t="s">
        <v>104</v>
      </c>
      <c r="D22">
        <v>399559926548</v>
      </c>
      <c r="E22" t="s">
        <v>91</v>
      </c>
      <c r="F22" t="s">
        <v>105</v>
      </c>
      <c r="G22" t="s">
        <v>106</v>
      </c>
      <c r="H22" t="s">
        <v>21</v>
      </c>
      <c r="I22" t="s">
        <v>38</v>
      </c>
      <c r="J22">
        <v>88517.73</v>
      </c>
      <c r="K22" t="s">
        <v>98</v>
      </c>
      <c r="L22" s="2">
        <v>45695</v>
      </c>
      <c r="M22" t="s">
        <v>24</v>
      </c>
      <c r="N22">
        <v>473505.78</v>
      </c>
      <c r="O22" t="s">
        <v>25</v>
      </c>
      <c r="P22">
        <f>YEAR('Main DataSet'!$L22)</f>
        <v>2025</v>
      </c>
      <c r="Q22">
        <f>MONTH('Main DataSet'!$L22)</f>
        <v>2</v>
      </c>
      <c r="R22" t="str">
        <f>TEXT('Main DataSet'!$L22,"MM-YYYY")</f>
        <v>02-2025</v>
      </c>
    </row>
    <row r="23" spans="1:18" ht="15.75" customHeight="1" x14ac:dyDescent="0.2">
      <c r="A23" t="s">
        <v>107</v>
      </c>
      <c r="B23">
        <v>877399</v>
      </c>
      <c r="C23" t="s">
        <v>108</v>
      </c>
      <c r="D23">
        <v>964797210985</v>
      </c>
      <c r="E23" t="s">
        <v>91</v>
      </c>
      <c r="F23" t="s">
        <v>109</v>
      </c>
      <c r="G23" t="s">
        <v>110</v>
      </c>
      <c r="H23" t="s">
        <v>21</v>
      </c>
      <c r="I23" t="s">
        <v>53</v>
      </c>
      <c r="J23">
        <v>415314.39</v>
      </c>
      <c r="K23" t="s">
        <v>98</v>
      </c>
      <c r="L23" s="2">
        <v>45725</v>
      </c>
      <c r="M23" t="s">
        <v>24</v>
      </c>
      <c r="N23">
        <v>1834945.27</v>
      </c>
      <c r="O23" t="s">
        <v>25</v>
      </c>
      <c r="P23">
        <f>YEAR('Main DataSet'!$L23)</f>
        <v>2025</v>
      </c>
      <c r="Q23">
        <f>MONTH('Main DataSet'!$L23)</f>
        <v>3</v>
      </c>
      <c r="R23" t="str">
        <f>TEXT('Main DataSet'!$L23,"MM-YYYY")</f>
        <v>03-2025</v>
      </c>
    </row>
    <row r="24" spans="1:18" ht="15.75" customHeight="1" x14ac:dyDescent="0.2">
      <c r="A24" t="s">
        <v>111</v>
      </c>
      <c r="B24">
        <v>268498</v>
      </c>
      <c r="C24" t="s">
        <v>112</v>
      </c>
      <c r="D24">
        <v>371376739219</v>
      </c>
      <c r="E24" t="s">
        <v>64</v>
      </c>
      <c r="F24" t="s">
        <v>83</v>
      </c>
      <c r="G24" t="s">
        <v>84</v>
      </c>
      <c r="H24" t="s">
        <v>21</v>
      </c>
      <c r="I24" t="s">
        <v>53</v>
      </c>
      <c r="J24">
        <v>41441.83</v>
      </c>
      <c r="K24" t="s">
        <v>49</v>
      </c>
      <c r="L24" s="2">
        <v>45570</v>
      </c>
      <c r="M24" t="s">
        <v>113</v>
      </c>
      <c r="N24">
        <v>1056408.71</v>
      </c>
      <c r="O24" t="s">
        <v>25</v>
      </c>
      <c r="P24">
        <f>YEAR('Main DataSet'!$L24)</f>
        <v>2024</v>
      </c>
      <c r="Q24">
        <f>MONTH('Main DataSet'!$L24)</f>
        <v>10</v>
      </c>
      <c r="R24" t="str">
        <f>TEXT('Main DataSet'!$L24,"MM-YYYY")</f>
        <v>10-2024</v>
      </c>
    </row>
    <row r="25" spans="1:18" ht="15.75" customHeight="1" x14ac:dyDescent="0.2">
      <c r="A25" t="s">
        <v>114</v>
      </c>
      <c r="B25">
        <v>509182</v>
      </c>
      <c r="C25" t="s">
        <v>115</v>
      </c>
      <c r="D25">
        <v>290112954278</v>
      </c>
      <c r="E25" t="s">
        <v>64</v>
      </c>
      <c r="F25" t="s">
        <v>65</v>
      </c>
      <c r="G25" t="s">
        <v>66</v>
      </c>
      <c r="H25" t="s">
        <v>21</v>
      </c>
      <c r="I25" t="s">
        <v>53</v>
      </c>
      <c r="J25">
        <v>342882.13</v>
      </c>
      <c r="K25" t="s">
        <v>98</v>
      </c>
      <c r="L25" s="2">
        <v>45651</v>
      </c>
      <c r="M25" t="s">
        <v>24</v>
      </c>
      <c r="N25">
        <v>540147.12</v>
      </c>
      <c r="O25" t="s">
        <v>25</v>
      </c>
      <c r="P25">
        <f>YEAR('Main DataSet'!$L25)</f>
        <v>2024</v>
      </c>
      <c r="Q25">
        <f>MONTH('Main DataSet'!$L25)</f>
        <v>12</v>
      </c>
      <c r="R25" t="str">
        <f>TEXT('Main DataSet'!$L25,"MM-YYYY")</f>
        <v>12-2024</v>
      </c>
    </row>
    <row r="26" spans="1:18" ht="15.75" customHeight="1" x14ac:dyDescent="0.2">
      <c r="A26" t="s">
        <v>116</v>
      </c>
      <c r="B26">
        <v>298244</v>
      </c>
      <c r="C26" t="s">
        <v>117</v>
      </c>
      <c r="D26">
        <v>977958651702</v>
      </c>
      <c r="E26" t="s">
        <v>28</v>
      </c>
      <c r="F26" t="s">
        <v>79</v>
      </c>
      <c r="G26" t="s">
        <v>80</v>
      </c>
      <c r="H26" t="s">
        <v>67</v>
      </c>
      <c r="I26" t="s">
        <v>53</v>
      </c>
      <c r="J26">
        <v>271432.19</v>
      </c>
      <c r="K26" t="s">
        <v>39</v>
      </c>
      <c r="L26" s="2">
        <v>45589</v>
      </c>
      <c r="M26" t="s">
        <v>24</v>
      </c>
      <c r="N26">
        <v>1473919.05</v>
      </c>
      <c r="O26" t="s">
        <v>25</v>
      </c>
      <c r="P26">
        <f>YEAR('Main DataSet'!$L26)</f>
        <v>2024</v>
      </c>
      <c r="Q26">
        <f>MONTH('Main DataSet'!$L26)</f>
        <v>10</v>
      </c>
      <c r="R26" t="str">
        <f>TEXT('Main DataSet'!$L26,"MM-YYYY")</f>
        <v>10-2024</v>
      </c>
    </row>
    <row r="27" spans="1:18" ht="15.75" customHeight="1" x14ac:dyDescent="0.2">
      <c r="A27" t="s">
        <v>118</v>
      </c>
      <c r="B27">
        <v>564685</v>
      </c>
      <c r="C27" t="s">
        <v>119</v>
      </c>
      <c r="D27">
        <v>381970890311</v>
      </c>
      <c r="E27" t="s">
        <v>64</v>
      </c>
      <c r="F27" t="s">
        <v>83</v>
      </c>
      <c r="G27" t="s">
        <v>84</v>
      </c>
      <c r="H27" t="s">
        <v>67</v>
      </c>
      <c r="I27" t="s">
        <v>53</v>
      </c>
      <c r="J27">
        <v>253021.62</v>
      </c>
      <c r="K27" t="s">
        <v>49</v>
      </c>
      <c r="L27" s="2">
        <v>45405</v>
      </c>
      <c r="M27" t="s">
        <v>24</v>
      </c>
      <c r="N27">
        <v>2087860.21</v>
      </c>
      <c r="O27" t="s">
        <v>25</v>
      </c>
      <c r="P27">
        <f>YEAR('Main DataSet'!$L27)</f>
        <v>2024</v>
      </c>
      <c r="Q27">
        <f>MONTH('Main DataSet'!$L27)</f>
        <v>4</v>
      </c>
      <c r="R27" t="str">
        <f>TEXT('Main DataSet'!$L27,"MM-YYYY")</f>
        <v>04-2024</v>
      </c>
    </row>
    <row r="28" spans="1:18" ht="15.75" customHeight="1" x14ac:dyDescent="0.2">
      <c r="A28" t="s">
        <v>120</v>
      </c>
      <c r="B28">
        <v>772989</v>
      </c>
      <c r="C28" t="s">
        <v>121</v>
      </c>
      <c r="D28">
        <v>753553434809</v>
      </c>
      <c r="E28" t="s">
        <v>18</v>
      </c>
      <c r="F28" t="s">
        <v>87</v>
      </c>
      <c r="G28" t="s">
        <v>88</v>
      </c>
      <c r="H28" t="s">
        <v>67</v>
      </c>
      <c r="I28" t="s">
        <v>38</v>
      </c>
      <c r="J28">
        <v>20332.900000000001</v>
      </c>
      <c r="K28" t="s">
        <v>49</v>
      </c>
      <c r="L28" s="2">
        <v>45503</v>
      </c>
      <c r="M28" t="s">
        <v>24</v>
      </c>
      <c r="N28">
        <v>343435.64</v>
      </c>
      <c r="O28" t="s">
        <v>25</v>
      </c>
      <c r="P28">
        <f>YEAR('Main DataSet'!$L28)</f>
        <v>2024</v>
      </c>
      <c r="Q28">
        <f>MONTH('Main DataSet'!$L28)</f>
        <v>7</v>
      </c>
      <c r="R28" t="str">
        <f>TEXT('Main DataSet'!$L28,"MM-YYYY")</f>
        <v>07-2024</v>
      </c>
    </row>
    <row r="29" spans="1:18" ht="15.75" customHeight="1" x14ac:dyDescent="0.2">
      <c r="A29" t="s">
        <v>122</v>
      </c>
      <c r="B29">
        <v>516447</v>
      </c>
      <c r="C29" t="s">
        <v>123</v>
      </c>
      <c r="D29">
        <v>173872984561</v>
      </c>
      <c r="E29" t="s">
        <v>28</v>
      </c>
      <c r="F29" t="s">
        <v>29</v>
      </c>
      <c r="G29" t="s">
        <v>30</v>
      </c>
      <c r="H29" t="s">
        <v>67</v>
      </c>
      <c r="I29" t="s">
        <v>38</v>
      </c>
      <c r="J29">
        <v>108072.78</v>
      </c>
      <c r="K29" t="s">
        <v>23</v>
      </c>
      <c r="L29" s="2">
        <v>45450</v>
      </c>
      <c r="M29" t="s">
        <v>50</v>
      </c>
      <c r="N29">
        <v>1433209.47</v>
      </c>
      <c r="O29" t="s">
        <v>25</v>
      </c>
      <c r="P29">
        <f>YEAR('Main DataSet'!$L29)</f>
        <v>2024</v>
      </c>
      <c r="Q29">
        <f>MONTH('Main DataSet'!$L29)</f>
        <v>6</v>
      </c>
      <c r="R29" t="str">
        <f>TEXT('Main DataSet'!$L29,"MM-YYYY")</f>
        <v>06-2024</v>
      </c>
    </row>
    <row r="30" spans="1:18" ht="15.75" customHeight="1" x14ac:dyDescent="0.2">
      <c r="A30" t="s">
        <v>124</v>
      </c>
      <c r="B30">
        <v>171990</v>
      </c>
      <c r="C30" t="s">
        <v>125</v>
      </c>
      <c r="D30">
        <v>427472926649</v>
      </c>
      <c r="E30" t="s">
        <v>18</v>
      </c>
      <c r="F30" t="s">
        <v>87</v>
      </c>
      <c r="G30" t="s">
        <v>88</v>
      </c>
      <c r="H30" t="s">
        <v>67</v>
      </c>
      <c r="I30" t="s">
        <v>48</v>
      </c>
      <c r="J30">
        <v>248672.35</v>
      </c>
      <c r="K30" t="s">
        <v>39</v>
      </c>
      <c r="L30" s="2">
        <v>45156</v>
      </c>
      <c r="M30" t="s">
        <v>24</v>
      </c>
      <c r="N30">
        <v>838290.03999999992</v>
      </c>
      <c r="O30" t="s">
        <v>25</v>
      </c>
      <c r="P30">
        <f>YEAR('Main DataSet'!$L30)</f>
        <v>2023</v>
      </c>
      <c r="Q30">
        <f>MONTH('Main DataSet'!$L30)</f>
        <v>8</v>
      </c>
      <c r="R30" t="str">
        <f>TEXT('Main DataSet'!$L30,"MM-YYYY")</f>
        <v>08-2023</v>
      </c>
    </row>
    <row r="31" spans="1:18" ht="15.75" customHeight="1" x14ac:dyDescent="0.2">
      <c r="A31" t="s">
        <v>126</v>
      </c>
      <c r="B31">
        <v>217181</v>
      </c>
      <c r="C31" t="s">
        <v>127</v>
      </c>
      <c r="D31">
        <v>336318549444</v>
      </c>
      <c r="E31" t="s">
        <v>91</v>
      </c>
      <c r="F31" t="s">
        <v>109</v>
      </c>
      <c r="G31" t="s">
        <v>110</v>
      </c>
      <c r="H31" t="s">
        <v>21</v>
      </c>
      <c r="I31" t="s">
        <v>38</v>
      </c>
      <c r="J31">
        <v>29516.09</v>
      </c>
      <c r="K31" t="s">
        <v>98</v>
      </c>
      <c r="L31" s="2">
        <v>45217</v>
      </c>
      <c r="M31" t="s">
        <v>24</v>
      </c>
      <c r="N31">
        <v>1870328.71</v>
      </c>
      <c r="O31" t="s">
        <v>25</v>
      </c>
      <c r="P31">
        <f>YEAR('Main DataSet'!$L31)</f>
        <v>2023</v>
      </c>
      <c r="Q31">
        <f>MONTH('Main DataSet'!$L31)</f>
        <v>10</v>
      </c>
      <c r="R31" t="str">
        <f>TEXT('Main DataSet'!$L31,"MM-YYYY")</f>
        <v>10-2023</v>
      </c>
    </row>
    <row r="32" spans="1:18" ht="15.75" customHeight="1" x14ac:dyDescent="0.2">
      <c r="A32" t="s">
        <v>128</v>
      </c>
      <c r="B32">
        <v>853995</v>
      </c>
      <c r="C32" t="s">
        <v>129</v>
      </c>
      <c r="D32">
        <v>564485035229</v>
      </c>
      <c r="E32" t="s">
        <v>91</v>
      </c>
      <c r="F32" t="s">
        <v>130</v>
      </c>
      <c r="G32" t="s">
        <v>131</v>
      </c>
      <c r="H32" t="s">
        <v>67</v>
      </c>
      <c r="I32" t="s">
        <v>22</v>
      </c>
      <c r="J32">
        <v>285994.06</v>
      </c>
      <c r="K32" t="s">
        <v>39</v>
      </c>
      <c r="L32" s="2">
        <v>45429</v>
      </c>
      <c r="M32" t="s">
        <v>24</v>
      </c>
      <c r="N32">
        <v>2159844.0099999998</v>
      </c>
      <c r="O32" t="s">
        <v>25</v>
      </c>
      <c r="P32">
        <f>YEAR('Main DataSet'!$L32)</f>
        <v>2024</v>
      </c>
      <c r="Q32">
        <f>MONTH('Main DataSet'!$L32)</f>
        <v>5</v>
      </c>
      <c r="R32" t="str">
        <f>TEXT('Main DataSet'!$L32,"MM-YYYY")</f>
        <v>05-2024</v>
      </c>
    </row>
    <row r="33" spans="1:18" ht="15.75" customHeight="1" x14ac:dyDescent="0.2">
      <c r="A33" t="s">
        <v>132</v>
      </c>
      <c r="B33">
        <v>433879</v>
      </c>
      <c r="C33" t="s">
        <v>133</v>
      </c>
      <c r="D33">
        <v>201493145216</v>
      </c>
      <c r="E33" t="s">
        <v>91</v>
      </c>
      <c r="F33" t="s">
        <v>92</v>
      </c>
      <c r="G33" t="s">
        <v>93</v>
      </c>
      <c r="H33" t="s">
        <v>70</v>
      </c>
      <c r="I33" t="s">
        <v>22</v>
      </c>
      <c r="J33">
        <v>374242.97</v>
      </c>
      <c r="K33" t="s">
        <v>39</v>
      </c>
      <c r="L33" s="2">
        <v>45128</v>
      </c>
      <c r="M33" t="s">
        <v>24</v>
      </c>
      <c r="N33">
        <v>1965672.23</v>
      </c>
      <c r="O33" t="s">
        <v>25</v>
      </c>
      <c r="P33">
        <f>YEAR('Main DataSet'!$L33)</f>
        <v>2023</v>
      </c>
      <c r="Q33">
        <f>MONTH('Main DataSet'!$L33)</f>
        <v>7</v>
      </c>
      <c r="R33" t="str">
        <f>TEXT('Main DataSet'!$L33,"MM-YYYY")</f>
        <v>07-2023</v>
      </c>
    </row>
    <row r="34" spans="1:18" ht="15.75" customHeight="1" x14ac:dyDescent="0.2">
      <c r="A34" t="s">
        <v>134</v>
      </c>
      <c r="B34">
        <v>651973</v>
      </c>
      <c r="C34" t="s">
        <v>135</v>
      </c>
      <c r="D34">
        <v>560621316956</v>
      </c>
      <c r="E34" t="s">
        <v>35</v>
      </c>
      <c r="F34" t="s">
        <v>136</v>
      </c>
      <c r="G34" t="s">
        <v>137</v>
      </c>
      <c r="H34" t="s">
        <v>31</v>
      </c>
      <c r="I34" t="s">
        <v>22</v>
      </c>
      <c r="J34">
        <v>148852.68</v>
      </c>
      <c r="K34" t="s">
        <v>39</v>
      </c>
      <c r="L34" s="2">
        <v>45796</v>
      </c>
      <c r="M34" t="s">
        <v>24</v>
      </c>
      <c r="N34">
        <v>1180170.71</v>
      </c>
      <c r="O34" t="s">
        <v>25</v>
      </c>
      <c r="P34">
        <f>YEAR('Main DataSet'!$L34)</f>
        <v>2025</v>
      </c>
      <c r="Q34">
        <f>MONTH('Main DataSet'!$L34)</f>
        <v>5</v>
      </c>
      <c r="R34" t="str">
        <f>TEXT('Main DataSet'!$L34,"MM-YYYY")</f>
        <v>05-2025</v>
      </c>
    </row>
    <row r="35" spans="1:18" ht="15.75" customHeight="1" x14ac:dyDescent="0.2">
      <c r="A35" t="s">
        <v>138</v>
      </c>
      <c r="B35">
        <v>743304</v>
      </c>
      <c r="C35" t="s">
        <v>139</v>
      </c>
      <c r="D35">
        <v>213916121897</v>
      </c>
      <c r="E35" t="s">
        <v>64</v>
      </c>
      <c r="F35" t="s">
        <v>65</v>
      </c>
      <c r="G35" t="s">
        <v>66</v>
      </c>
      <c r="H35" t="s">
        <v>67</v>
      </c>
      <c r="I35" t="s">
        <v>53</v>
      </c>
      <c r="J35">
        <v>101567.88</v>
      </c>
      <c r="K35" t="s">
        <v>49</v>
      </c>
      <c r="L35" s="2">
        <v>45746</v>
      </c>
      <c r="M35" t="s">
        <v>24</v>
      </c>
      <c r="N35">
        <v>199853.73</v>
      </c>
      <c r="O35" t="s">
        <v>25</v>
      </c>
      <c r="P35">
        <f>YEAR('Main DataSet'!$L35)</f>
        <v>2025</v>
      </c>
      <c r="Q35">
        <f>MONTH('Main DataSet'!$L35)</f>
        <v>3</v>
      </c>
      <c r="R35" t="str">
        <f>TEXT('Main DataSet'!$L35,"MM-YYYY")</f>
        <v>03-2025</v>
      </c>
    </row>
    <row r="36" spans="1:18" ht="15.75" customHeight="1" x14ac:dyDescent="0.2">
      <c r="A36" t="s">
        <v>140</v>
      </c>
      <c r="B36">
        <v>433578</v>
      </c>
      <c r="C36" t="s">
        <v>141</v>
      </c>
      <c r="D36">
        <v>524724150945</v>
      </c>
      <c r="E36" t="s">
        <v>18</v>
      </c>
      <c r="F36" t="s">
        <v>19</v>
      </c>
      <c r="G36" t="s">
        <v>20</v>
      </c>
      <c r="H36" t="s">
        <v>21</v>
      </c>
      <c r="I36" t="s">
        <v>48</v>
      </c>
      <c r="J36">
        <v>229408.77</v>
      </c>
      <c r="K36" t="s">
        <v>23</v>
      </c>
      <c r="L36" s="2">
        <v>45706</v>
      </c>
      <c r="M36" t="s">
        <v>24</v>
      </c>
      <c r="N36">
        <v>777778</v>
      </c>
      <c r="O36" t="s">
        <v>25</v>
      </c>
      <c r="P36">
        <f>YEAR('Main DataSet'!$L36)</f>
        <v>2025</v>
      </c>
      <c r="Q36">
        <f>MONTH('Main DataSet'!$L36)</f>
        <v>2</v>
      </c>
      <c r="R36" t="str">
        <f>TEXT('Main DataSet'!$L36,"MM-YYYY")</f>
        <v>02-2025</v>
      </c>
    </row>
    <row r="37" spans="1:18" ht="15.75" customHeight="1" x14ac:dyDescent="0.2">
      <c r="A37" t="s">
        <v>142</v>
      </c>
      <c r="B37">
        <v>335618</v>
      </c>
      <c r="C37" t="s">
        <v>143</v>
      </c>
      <c r="D37">
        <v>978676125504</v>
      </c>
      <c r="E37" t="s">
        <v>91</v>
      </c>
      <c r="F37" t="s">
        <v>105</v>
      </c>
      <c r="G37" t="s">
        <v>106</v>
      </c>
      <c r="H37" t="s">
        <v>67</v>
      </c>
      <c r="I37" t="s">
        <v>22</v>
      </c>
      <c r="J37">
        <v>66704.02</v>
      </c>
      <c r="K37" t="s">
        <v>32</v>
      </c>
      <c r="L37" s="2">
        <v>45241</v>
      </c>
      <c r="M37" t="s">
        <v>24</v>
      </c>
      <c r="N37">
        <v>183649.06</v>
      </c>
      <c r="O37" t="s">
        <v>25</v>
      </c>
      <c r="P37">
        <f>YEAR('Main DataSet'!$L37)</f>
        <v>2023</v>
      </c>
      <c r="Q37">
        <f>MONTH('Main DataSet'!$L37)</f>
        <v>11</v>
      </c>
      <c r="R37" t="str">
        <f>TEXT('Main DataSet'!$L37,"MM-YYYY")</f>
        <v>11-2023</v>
      </c>
    </row>
    <row r="38" spans="1:18" ht="15.75" customHeight="1" x14ac:dyDescent="0.2">
      <c r="A38" t="s">
        <v>144</v>
      </c>
      <c r="B38">
        <v>134765</v>
      </c>
      <c r="C38" t="s">
        <v>145</v>
      </c>
      <c r="D38">
        <v>580776402182</v>
      </c>
      <c r="E38" t="s">
        <v>64</v>
      </c>
      <c r="F38" t="s">
        <v>146</v>
      </c>
      <c r="G38" t="s">
        <v>147</v>
      </c>
      <c r="H38" t="s">
        <v>67</v>
      </c>
      <c r="I38" t="s">
        <v>48</v>
      </c>
      <c r="J38">
        <v>36992.14</v>
      </c>
      <c r="K38" t="s">
        <v>49</v>
      </c>
      <c r="L38" s="2">
        <v>45588</v>
      </c>
      <c r="M38" t="s">
        <v>24</v>
      </c>
      <c r="N38">
        <v>1678066.58</v>
      </c>
      <c r="O38" t="s">
        <v>25</v>
      </c>
      <c r="P38">
        <f>YEAR('Main DataSet'!$L38)</f>
        <v>2024</v>
      </c>
      <c r="Q38">
        <f>MONTH('Main DataSet'!$L38)</f>
        <v>10</v>
      </c>
      <c r="R38" t="str">
        <f>TEXT('Main DataSet'!$L38,"MM-YYYY")</f>
        <v>10-2024</v>
      </c>
    </row>
    <row r="39" spans="1:18" ht="15.75" customHeight="1" x14ac:dyDescent="0.2">
      <c r="A39" t="s">
        <v>148</v>
      </c>
      <c r="B39">
        <v>837453</v>
      </c>
      <c r="C39" t="s">
        <v>149</v>
      </c>
      <c r="D39">
        <v>192276969734</v>
      </c>
      <c r="E39" t="s">
        <v>28</v>
      </c>
      <c r="F39" t="s">
        <v>150</v>
      </c>
      <c r="G39" t="s">
        <v>151</v>
      </c>
      <c r="H39" t="s">
        <v>21</v>
      </c>
      <c r="I39" t="s">
        <v>53</v>
      </c>
      <c r="J39">
        <v>122297.94</v>
      </c>
      <c r="K39" t="s">
        <v>98</v>
      </c>
      <c r="L39" s="2">
        <v>45336</v>
      </c>
      <c r="M39" t="s">
        <v>24</v>
      </c>
      <c r="N39">
        <v>351667.74</v>
      </c>
      <c r="O39" t="s">
        <v>25</v>
      </c>
      <c r="P39">
        <f>YEAR('Main DataSet'!$L39)</f>
        <v>2024</v>
      </c>
      <c r="Q39">
        <f>MONTH('Main DataSet'!$L39)</f>
        <v>2</v>
      </c>
      <c r="R39" t="str">
        <f>TEXT('Main DataSet'!$L39,"MM-YYYY")</f>
        <v>02-2024</v>
      </c>
    </row>
    <row r="40" spans="1:18" ht="15.75" customHeight="1" x14ac:dyDescent="0.2">
      <c r="A40" t="s">
        <v>152</v>
      </c>
      <c r="B40">
        <v>212429</v>
      </c>
      <c r="C40" t="s">
        <v>153</v>
      </c>
      <c r="D40">
        <v>788289851630</v>
      </c>
      <c r="E40" t="s">
        <v>91</v>
      </c>
      <c r="F40" t="s">
        <v>92</v>
      </c>
      <c r="G40" t="s">
        <v>93</v>
      </c>
      <c r="H40" t="s">
        <v>21</v>
      </c>
      <c r="I40" t="s">
        <v>48</v>
      </c>
      <c r="J40">
        <v>270490.09999999998</v>
      </c>
      <c r="K40" t="s">
        <v>39</v>
      </c>
      <c r="L40" s="2">
        <v>45566</v>
      </c>
      <c r="M40" t="s">
        <v>24</v>
      </c>
      <c r="N40">
        <v>1171836.49</v>
      </c>
      <c r="O40" t="s">
        <v>25</v>
      </c>
      <c r="P40">
        <f>YEAR('Main DataSet'!$L40)</f>
        <v>2024</v>
      </c>
      <c r="Q40">
        <f>MONTH('Main DataSet'!$L40)</f>
        <v>10</v>
      </c>
      <c r="R40" t="str">
        <f>TEXT('Main DataSet'!$L40,"MM-YYYY")</f>
        <v>10-2024</v>
      </c>
    </row>
    <row r="41" spans="1:18" ht="15.75" customHeight="1" x14ac:dyDescent="0.2">
      <c r="A41" t="s">
        <v>154</v>
      </c>
      <c r="B41">
        <v>652501</v>
      </c>
      <c r="C41" t="s">
        <v>155</v>
      </c>
      <c r="D41">
        <v>792670907549</v>
      </c>
      <c r="E41" t="s">
        <v>18</v>
      </c>
      <c r="F41" t="s">
        <v>156</v>
      </c>
      <c r="G41" t="s">
        <v>157</v>
      </c>
      <c r="H41" t="s">
        <v>67</v>
      </c>
      <c r="I41" t="s">
        <v>22</v>
      </c>
      <c r="J41">
        <v>51847.92</v>
      </c>
      <c r="K41" t="s">
        <v>23</v>
      </c>
      <c r="L41" s="2">
        <v>45548</v>
      </c>
      <c r="M41" t="s">
        <v>24</v>
      </c>
      <c r="N41">
        <v>930650.27</v>
      </c>
      <c r="O41" t="s">
        <v>25</v>
      </c>
      <c r="P41">
        <f>YEAR('Main DataSet'!$L41)</f>
        <v>2024</v>
      </c>
      <c r="Q41">
        <f>MONTH('Main DataSet'!$L41)</f>
        <v>9</v>
      </c>
      <c r="R41" t="str">
        <f>TEXT('Main DataSet'!$L41,"MM-YYYY")</f>
        <v>09-2024</v>
      </c>
    </row>
    <row r="42" spans="1:18" ht="15.75" customHeight="1" x14ac:dyDescent="0.2">
      <c r="A42" t="s">
        <v>158</v>
      </c>
      <c r="B42">
        <v>223517</v>
      </c>
      <c r="C42" t="s">
        <v>159</v>
      </c>
      <c r="D42">
        <v>709411524006</v>
      </c>
      <c r="E42" t="s">
        <v>91</v>
      </c>
      <c r="F42" t="s">
        <v>92</v>
      </c>
      <c r="G42" t="s">
        <v>93</v>
      </c>
      <c r="H42" t="s">
        <v>67</v>
      </c>
      <c r="I42" t="s">
        <v>48</v>
      </c>
      <c r="J42">
        <v>134957.76999999999</v>
      </c>
      <c r="K42" t="s">
        <v>39</v>
      </c>
      <c r="L42" s="2">
        <v>45198</v>
      </c>
      <c r="M42" t="s">
        <v>24</v>
      </c>
      <c r="N42">
        <v>604057.52</v>
      </c>
      <c r="O42" t="s">
        <v>25</v>
      </c>
      <c r="P42">
        <f>YEAR('Main DataSet'!$L42)</f>
        <v>2023</v>
      </c>
      <c r="Q42">
        <f>MONTH('Main DataSet'!$L42)</f>
        <v>9</v>
      </c>
      <c r="R42" t="str">
        <f>TEXT('Main DataSet'!$L42,"MM-YYYY")</f>
        <v>09-2023</v>
      </c>
    </row>
    <row r="43" spans="1:18" ht="15.75" customHeight="1" x14ac:dyDescent="0.2">
      <c r="A43" t="s">
        <v>160</v>
      </c>
      <c r="B43">
        <v>875642</v>
      </c>
      <c r="C43" t="s">
        <v>161</v>
      </c>
      <c r="D43">
        <v>397885804569</v>
      </c>
      <c r="E43" t="s">
        <v>91</v>
      </c>
      <c r="F43" t="s">
        <v>162</v>
      </c>
      <c r="G43" t="s">
        <v>163</v>
      </c>
      <c r="H43" t="s">
        <v>31</v>
      </c>
      <c r="I43" t="s">
        <v>38</v>
      </c>
      <c r="J43">
        <v>58285.919999999998</v>
      </c>
      <c r="K43" t="s">
        <v>49</v>
      </c>
      <c r="L43" s="2">
        <v>45269</v>
      </c>
      <c r="M43" t="s">
        <v>24</v>
      </c>
      <c r="N43">
        <v>1596795</v>
      </c>
      <c r="O43" t="s">
        <v>25</v>
      </c>
      <c r="P43">
        <f>YEAR('Main DataSet'!$L43)</f>
        <v>2023</v>
      </c>
      <c r="Q43">
        <f>MONTH('Main DataSet'!$L43)</f>
        <v>12</v>
      </c>
      <c r="R43" t="str">
        <f>TEXT('Main DataSet'!$L43,"MM-YYYY")</f>
        <v>12-2023</v>
      </c>
    </row>
    <row r="44" spans="1:18" ht="15.75" customHeight="1" x14ac:dyDescent="0.2">
      <c r="A44" t="s">
        <v>164</v>
      </c>
      <c r="B44">
        <v>634610</v>
      </c>
      <c r="C44" t="s">
        <v>165</v>
      </c>
      <c r="D44">
        <v>707104940908</v>
      </c>
      <c r="E44" t="s">
        <v>64</v>
      </c>
      <c r="F44" t="s">
        <v>166</v>
      </c>
      <c r="G44" t="s">
        <v>167</v>
      </c>
      <c r="H44" t="s">
        <v>67</v>
      </c>
      <c r="I44" t="s">
        <v>38</v>
      </c>
      <c r="J44">
        <v>143215.06</v>
      </c>
      <c r="K44" t="s">
        <v>23</v>
      </c>
      <c r="L44" s="2">
        <v>45488</v>
      </c>
      <c r="M44" t="s">
        <v>168</v>
      </c>
      <c r="N44">
        <v>1345360.8</v>
      </c>
      <c r="O44" t="s">
        <v>25</v>
      </c>
      <c r="P44">
        <f>YEAR('Main DataSet'!$L44)</f>
        <v>2024</v>
      </c>
      <c r="Q44">
        <f>MONTH('Main DataSet'!$L44)</f>
        <v>7</v>
      </c>
      <c r="R44" t="str">
        <f>TEXT('Main DataSet'!$L44,"MM-YYYY")</f>
        <v>07-2024</v>
      </c>
    </row>
    <row r="45" spans="1:18" ht="15.75" customHeight="1" x14ac:dyDescent="0.2">
      <c r="A45" t="s">
        <v>169</v>
      </c>
      <c r="B45">
        <v>378722</v>
      </c>
      <c r="C45" t="s">
        <v>170</v>
      </c>
      <c r="D45">
        <v>327507559769</v>
      </c>
      <c r="E45" t="s">
        <v>35</v>
      </c>
      <c r="F45" t="s">
        <v>36</v>
      </c>
      <c r="G45" t="s">
        <v>37</v>
      </c>
      <c r="H45" t="s">
        <v>70</v>
      </c>
      <c r="I45" t="s">
        <v>38</v>
      </c>
      <c r="J45">
        <v>53733.54</v>
      </c>
      <c r="K45" t="s">
        <v>49</v>
      </c>
      <c r="L45" s="2">
        <v>45438</v>
      </c>
      <c r="M45" t="s">
        <v>24</v>
      </c>
      <c r="N45">
        <v>52500.329999999987</v>
      </c>
      <c r="O45" t="s">
        <v>25</v>
      </c>
      <c r="P45">
        <f>YEAR('Main DataSet'!$L45)</f>
        <v>2024</v>
      </c>
      <c r="Q45">
        <f>MONTH('Main DataSet'!$L45)</f>
        <v>5</v>
      </c>
      <c r="R45" t="str">
        <f>TEXT('Main DataSet'!$L45,"MM-YYYY")</f>
        <v>05-2024</v>
      </c>
    </row>
    <row r="46" spans="1:18" ht="15.75" customHeight="1" x14ac:dyDescent="0.2">
      <c r="A46" t="s">
        <v>171</v>
      </c>
      <c r="B46">
        <v>870934</v>
      </c>
      <c r="C46" t="s">
        <v>172</v>
      </c>
      <c r="D46">
        <v>982037976790</v>
      </c>
      <c r="E46" t="s">
        <v>91</v>
      </c>
      <c r="F46" t="s">
        <v>109</v>
      </c>
      <c r="G46" t="s">
        <v>110</v>
      </c>
      <c r="H46" t="s">
        <v>21</v>
      </c>
      <c r="I46" t="s">
        <v>22</v>
      </c>
      <c r="J46">
        <v>334428.89</v>
      </c>
      <c r="K46" t="s">
        <v>32</v>
      </c>
      <c r="L46" s="2">
        <v>45151</v>
      </c>
      <c r="M46" t="s">
        <v>24</v>
      </c>
      <c r="N46">
        <v>1019397.23</v>
      </c>
      <c r="O46" t="s">
        <v>25</v>
      </c>
      <c r="P46">
        <f>YEAR('Main DataSet'!$L46)</f>
        <v>2023</v>
      </c>
      <c r="Q46">
        <f>MONTH('Main DataSet'!$L46)</f>
        <v>8</v>
      </c>
      <c r="R46" t="str">
        <f>TEXT('Main DataSet'!$L46,"MM-YYYY")</f>
        <v>08-2023</v>
      </c>
    </row>
    <row r="47" spans="1:18" ht="15.75" customHeight="1" x14ac:dyDescent="0.2">
      <c r="A47" t="s">
        <v>173</v>
      </c>
      <c r="B47">
        <v>545234</v>
      </c>
      <c r="C47" t="s">
        <v>174</v>
      </c>
      <c r="D47">
        <v>702697254640</v>
      </c>
      <c r="E47" t="s">
        <v>64</v>
      </c>
      <c r="F47" t="s">
        <v>166</v>
      </c>
      <c r="G47" t="s">
        <v>167</v>
      </c>
      <c r="H47" t="s">
        <v>31</v>
      </c>
      <c r="I47" t="s">
        <v>22</v>
      </c>
      <c r="J47">
        <v>239589.03</v>
      </c>
      <c r="K47" t="s">
        <v>49</v>
      </c>
      <c r="L47" s="2">
        <v>45186</v>
      </c>
      <c r="M47" t="s">
        <v>24</v>
      </c>
      <c r="N47">
        <v>1886842.96</v>
      </c>
      <c r="O47" t="s">
        <v>25</v>
      </c>
      <c r="P47">
        <f>YEAR('Main DataSet'!$L47)</f>
        <v>2023</v>
      </c>
      <c r="Q47">
        <f>MONTH('Main DataSet'!$L47)</f>
        <v>9</v>
      </c>
      <c r="R47" t="str">
        <f>TEXT('Main DataSet'!$L47,"MM-YYYY")</f>
        <v>09-2023</v>
      </c>
    </row>
    <row r="48" spans="1:18" ht="15.75" customHeight="1" x14ac:dyDescent="0.2">
      <c r="A48" t="s">
        <v>175</v>
      </c>
      <c r="B48">
        <v>282725</v>
      </c>
      <c r="C48" t="s">
        <v>176</v>
      </c>
      <c r="D48">
        <v>590927660148</v>
      </c>
      <c r="E48" t="s">
        <v>64</v>
      </c>
      <c r="F48" t="s">
        <v>177</v>
      </c>
      <c r="G48" t="s">
        <v>178</v>
      </c>
      <c r="H48" t="s">
        <v>21</v>
      </c>
      <c r="I48" t="s">
        <v>53</v>
      </c>
      <c r="J48">
        <v>228752.03</v>
      </c>
      <c r="K48" t="s">
        <v>32</v>
      </c>
      <c r="L48" s="2">
        <v>45348</v>
      </c>
      <c r="M48" t="s">
        <v>24</v>
      </c>
      <c r="N48">
        <v>1606533</v>
      </c>
      <c r="O48" t="s">
        <v>179</v>
      </c>
      <c r="P48">
        <f>YEAR('Main DataSet'!$L48)</f>
        <v>2024</v>
      </c>
      <c r="Q48">
        <f>MONTH('Main DataSet'!$L48)</f>
        <v>2</v>
      </c>
      <c r="R48" t="str">
        <f>TEXT('Main DataSet'!$L48,"MM-YYYY")</f>
        <v>02-2024</v>
      </c>
    </row>
    <row r="49" spans="1:18" ht="15.75" customHeight="1" x14ac:dyDescent="0.2">
      <c r="A49" t="s">
        <v>180</v>
      </c>
      <c r="B49">
        <v>798832</v>
      </c>
      <c r="C49" t="s">
        <v>181</v>
      </c>
      <c r="D49">
        <v>366996690919</v>
      </c>
      <c r="E49" t="s">
        <v>64</v>
      </c>
      <c r="F49" t="s">
        <v>65</v>
      </c>
      <c r="G49" t="s">
        <v>66</v>
      </c>
      <c r="H49" t="s">
        <v>21</v>
      </c>
      <c r="I49" t="s">
        <v>53</v>
      </c>
      <c r="J49">
        <v>228603.21</v>
      </c>
      <c r="K49" t="s">
        <v>32</v>
      </c>
      <c r="L49" s="2">
        <v>45128</v>
      </c>
      <c r="M49" t="s">
        <v>24</v>
      </c>
      <c r="N49">
        <v>430998.17</v>
      </c>
      <c r="O49" t="s">
        <v>25</v>
      </c>
      <c r="P49">
        <f>YEAR('Main DataSet'!$L49)</f>
        <v>2023</v>
      </c>
      <c r="Q49">
        <f>MONTH('Main DataSet'!$L49)</f>
        <v>7</v>
      </c>
      <c r="R49" t="str">
        <f>TEXT('Main DataSet'!$L49,"MM-YYYY")</f>
        <v>07-2023</v>
      </c>
    </row>
    <row r="50" spans="1:18" ht="15.75" customHeight="1" x14ac:dyDescent="0.2">
      <c r="A50" t="s">
        <v>182</v>
      </c>
      <c r="B50">
        <v>693194</v>
      </c>
      <c r="C50" t="s">
        <v>183</v>
      </c>
      <c r="D50">
        <v>715222997316</v>
      </c>
      <c r="E50" t="s">
        <v>28</v>
      </c>
      <c r="F50" t="s">
        <v>79</v>
      </c>
      <c r="G50" t="s">
        <v>80</v>
      </c>
      <c r="H50" t="s">
        <v>31</v>
      </c>
      <c r="I50" t="s">
        <v>53</v>
      </c>
      <c r="J50">
        <v>241180.65</v>
      </c>
      <c r="K50" t="s">
        <v>32</v>
      </c>
      <c r="L50" s="2">
        <v>45258</v>
      </c>
      <c r="M50" t="s">
        <v>24</v>
      </c>
      <c r="N50">
        <v>820338.34</v>
      </c>
      <c r="O50" t="s">
        <v>25</v>
      </c>
      <c r="P50">
        <f>YEAR('Main DataSet'!$L50)</f>
        <v>2023</v>
      </c>
      <c r="Q50">
        <f>MONTH('Main DataSet'!$L50)</f>
        <v>11</v>
      </c>
      <c r="R50" t="str">
        <f>TEXT('Main DataSet'!$L50,"MM-YYYY")</f>
        <v>11-2023</v>
      </c>
    </row>
    <row r="51" spans="1:18" ht="15.75" customHeight="1" x14ac:dyDescent="0.2">
      <c r="A51" t="s">
        <v>184</v>
      </c>
      <c r="B51">
        <v>178161</v>
      </c>
      <c r="C51" t="s">
        <v>185</v>
      </c>
      <c r="D51">
        <v>850425096741</v>
      </c>
      <c r="E51" t="s">
        <v>18</v>
      </c>
      <c r="F51" t="s">
        <v>56</v>
      </c>
      <c r="G51" t="s">
        <v>57</v>
      </c>
      <c r="H51" t="s">
        <v>70</v>
      </c>
      <c r="I51" t="s">
        <v>53</v>
      </c>
      <c r="J51">
        <v>181478.37</v>
      </c>
      <c r="K51" t="s">
        <v>23</v>
      </c>
      <c r="L51" s="2">
        <v>45259</v>
      </c>
      <c r="M51" t="s">
        <v>24</v>
      </c>
      <c r="N51">
        <v>1640818.48</v>
      </c>
      <c r="O51" t="s">
        <v>25</v>
      </c>
      <c r="P51">
        <f>YEAR('Main DataSet'!$L51)</f>
        <v>2023</v>
      </c>
      <c r="Q51">
        <f>MONTH('Main DataSet'!$L51)</f>
        <v>11</v>
      </c>
      <c r="R51" t="str">
        <f>TEXT('Main DataSet'!$L51,"MM-YYYY")</f>
        <v>11-2023</v>
      </c>
    </row>
    <row r="52" spans="1:18" ht="15.75" customHeight="1" x14ac:dyDescent="0.2">
      <c r="A52" t="s">
        <v>186</v>
      </c>
      <c r="B52">
        <v>945986</v>
      </c>
      <c r="C52" t="s">
        <v>187</v>
      </c>
      <c r="D52">
        <v>316273586448</v>
      </c>
      <c r="E52" t="s">
        <v>64</v>
      </c>
      <c r="F52" t="s">
        <v>65</v>
      </c>
      <c r="G52" t="s">
        <v>66</v>
      </c>
      <c r="H52" t="s">
        <v>67</v>
      </c>
      <c r="I52" t="s">
        <v>48</v>
      </c>
      <c r="J52">
        <v>273414.65999999997</v>
      </c>
      <c r="K52" t="s">
        <v>32</v>
      </c>
      <c r="L52" s="2">
        <v>45712</v>
      </c>
      <c r="M52" t="s">
        <v>168</v>
      </c>
      <c r="N52">
        <v>673253.87</v>
      </c>
      <c r="O52" t="s">
        <v>25</v>
      </c>
      <c r="P52">
        <f>YEAR('Main DataSet'!$L52)</f>
        <v>2025</v>
      </c>
      <c r="Q52">
        <f>MONTH('Main DataSet'!$L52)</f>
        <v>2</v>
      </c>
      <c r="R52" t="str">
        <f>TEXT('Main DataSet'!$L52,"MM-YYYY")</f>
        <v>02-2025</v>
      </c>
    </row>
    <row r="53" spans="1:18" ht="15.75" customHeight="1" x14ac:dyDescent="0.2">
      <c r="A53" t="s">
        <v>188</v>
      </c>
      <c r="B53">
        <v>969262</v>
      </c>
      <c r="C53" t="s">
        <v>189</v>
      </c>
      <c r="D53">
        <v>593004841860</v>
      </c>
      <c r="E53" t="s">
        <v>18</v>
      </c>
      <c r="F53" t="s">
        <v>56</v>
      </c>
      <c r="G53" t="s">
        <v>57</v>
      </c>
      <c r="H53" t="s">
        <v>70</v>
      </c>
      <c r="I53" t="s">
        <v>38</v>
      </c>
      <c r="J53">
        <v>17312.52</v>
      </c>
      <c r="K53" t="s">
        <v>23</v>
      </c>
      <c r="L53" s="2">
        <v>45798</v>
      </c>
      <c r="M53" t="s">
        <v>24</v>
      </c>
      <c r="N53">
        <v>988997.22</v>
      </c>
      <c r="O53" t="s">
        <v>179</v>
      </c>
      <c r="P53">
        <f>YEAR('Main DataSet'!$L53)</f>
        <v>2025</v>
      </c>
      <c r="Q53">
        <f>MONTH('Main DataSet'!$L53)</f>
        <v>5</v>
      </c>
      <c r="R53" t="str">
        <f>TEXT('Main DataSet'!$L53,"MM-YYYY")</f>
        <v>05-2025</v>
      </c>
    </row>
    <row r="54" spans="1:18" ht="15.75" customHeight="1" x14ac:dyDescent="0.2">
      <c r="A54" t="s">
        <v>190</v>
      </c>
      <c r="B54">
        <v>624419</v>
      </c>
      <c r="C54" t="s">
        <v>191</v>
      </c>
      <c r="D54">
        <v>315927510709</v>
      </c>
      <c r="E54" t="s">
        <v>28</v>
      </c>
      <c r="F54" t="s">
        <v>192</v>
      </c>
      <c r="G54" t="s">
        <v>193</v>
      </c>
      <c r="H54" t="s">
        <v>21</v>
      </c>
      <c r="I54" t="s">
        <v>22</v>
      </c>
      <c r="J54">
        <v>320272.01</v>
      </c>
      <c r="K54" t="s">
        <v>23</v>
      </c>
      <c r="L54" s="2">
        <v>45153</v>
      </c>
      <c r="M54" t="s">
        <v>24</v>
      </c>
      <c r="N54">
        <v>855697.4</v>
      </c>
      <c r="O54" t="s">
        <v>25</v>
      </c>
      <c r="P54">
        <f>YEAR('Main DataSet'!$L54)</f>
        <v>2023</v>
      </c>
      <c r="Q54">
        <f>MONTH('Main DataSet'!$L54)</f>
        <v>8</v>
      </c>
      <c r="R54" t="str">
        <f>TEXT('Main DataSet'!$L54,"MM-YYYY")</f>
        <v>08-2023</v>
      </c>
    </row>
    <row r="55" spans="1:18" ht="15.75" customHeight="1" x14ac:dyDescent="0.2">
      <c r="A55" t="s">
        <v>194</v>
      </c>
      <c r="B55">
        <v>690301</v>
      </c>
      <c r="C55" t="s">
        <v>195</v>
      </c>
      <c r="D55">
        <v>726575855284</v>
      </c>
      <c r="E55" t="s">
        <v>28</v>
      </c>
      <c r="F55" t="s">
        <v>79</v>
      </c>
      <c r="G55" t="s">
        <v>80</v>
      </c>
      <c r="H55" t="s">
        <v>31</v>
      </c>
      <c r="I55" t="s">
        <v>53</v>
      </c>
      <c r="J55">
        <v>72231.47</v>
      </c>
      <c r="K55" t="s">
        <v>49</v>
      </c>
      <c r="L55" s="2">
        <v>45492</v>
      </c>
      <c r="M55" t="s">
        <v>24</v>
      </c>
      <c r="N55">
        <v>1904363.29</v>
      </c>
      <c r="O55" t="s">
        <v>25</v>
      </c>
      <c r="P55">
        <f>YEAR('Main DataSet'!$L55)</f>
        <v>2024</v>
      </c>
      <c r="Q55">
        <f>MONTH('Main DataSet'!$L55)</f>
        <v>7</v>
      </c>
      <c r="R55" t="str">
        <f>TEXT('Main DataSet'!$L55,"MM-YYYY")</f>
        <v>07-2024</v>
      </c>
    </row>
    <row r="56" spans="1:18" ht="15.75" customHeight="1" x14ac:dyDescent="0.2">
      <c r="A56" t="s">
        <v>196</v>
      </c>
      <c r="B56">
        <v>247721</v>
      </c>
      <c r="C56" t="s">
        <v>197</v>
      </c>
      <c r="D56">
        <v>388988910146</v>
      </c>
      <c r="E56" t="s">
        <v>35</v>
      </c>
      <c r="F56" t="s">
        <v>73</v>
      </c>
      <c r="G56" t="s">
        <v>74</v>
      </c>
      <c r="H56" t="s">
        <v>21</v>
      </c>
      <c r="I56" t="s">
        <v>38</v>
      </c>
      <c r="J56">
        <v>27223.82</v>
      </c>
      <c r="K56" t="s">
        <v>32</v>
      </c>
      <c r="L56" s="2">
        <v>45595</v>
      </c>
      <c r="M56" t="s">
        <v>24</v>
      </c>
      <c r="N56">
        <v>1584338.01</v>
      </c>
      <c r="O56" t="s">
        <v>25</v>
      </c>
      <c r="P56">
        <f>YEAR('Main DataSet'!$L56)</f>
        <v>2024</v>
      </c>
      <c r="Q56">
        <f>MONTH('Main DataSet'!$L56)</f>
        <v>10</v>
      </c>
      <c r="R56" t="str">
        <f>TEXT('Main DataSet'!$L56,"MM-YYYY")</f>
        <v>10-2024</v>
      </c>
    </row>
    <row r="57" spans="1:18" ht="15.75" customHeight="1" x14ac:dyDescent="0.2">
      <c r="A57" t="s">
        <v>198</v>
      </c>
      <c r="B57">
        <v>752827</v>
      </c>
      <c r="C57" t="s">
        <v>199</v>
      </c>
      <c r="D57">
        <v>755637196899</v>
      </c>
      <c r="E57" t="s">
        <v>18</v>
      </c>
      <c r="F57" t="s">
        <v>46</v>
      </c>
      <c r="G57" t="s">
        <v>47</v>
      </c>
      <c r="H57" t="s">
        <v>21</v>
      </c>
      <c r="I57" t="s">
        <v>38</v>
      </c>
      <c r="J57">
        <v>94133.21</v>
      </c>
      <c r="K57" t="s">
        <v>23</v>
      </c>
      <c r="L57" s="2">
        <v>45804</v>
      </c>
      <c r="M57" t="s">
        <v>50</v>
      </c>
      <c r="N57">
        <v>545204.92000000004</v>
      </c>
      <c r="O57" t="s">
        <v>25</v>
      </c>
      <c r="P57">
        <f>YEAR('Main DataSet'!$L57)</f>
        <v>2025</v>
      </c>
      <c r="Q57">
        <f>MONTH('Main DataSet'!$L57)</f>
        <v>5</v>
      </c>
      <c r="R57" t="str">
        <f>TEXT('Main DataSet'!$L57,"MM-YYYY")</f>
        <v>05-2025</v>
      </c>
    </row>
    <row r="58" spans="1:18" ht="15.75" customHeight="1" x14ac:dyDescent="0.2">
      <c r="A58" t="s">
        <v>200</v>
      </c>
      <c r="B58">
        <v>407754</v>
      </c>
      <c r="C58" t="s">
        <v>201</v>
      </c>
      <c r="D58">
        <v>170246566065</v>
      </c>
      <c r="E58" t="s">
        <v>64</v>
      </c>
      <c r="F58" t="s">
        <v>177</v>
      </c>
      <c r="G58" t="s">
        <v>178</v>
      </c>
      <c r="H58" t="s">
        <v>67</v>
      </c>
      <c r="I58" t="s">
        <v>53</v>
      </c>
      <c r="J58">
        <v>176352.05</v>
      </c>
      <c r="K58" t="s">
        <v>32</v>
      </c>
      <c r="L58" s="2">
        <v>45662</v>
      </c>
      <c r="M58" t="s">
        <v>24</v>
      </c>
      <c r="N58">
        <v>1754863.47</v>
      </c>
      <c r="O58" t="s">
        <v>25</v>
      </c>
      <c r="P58">
        <f>YEAR('Main DataSet'!$L58)</f>
        <v>2025</v>
      </c>
      <c r="Q58">
        <f>MONTH('Main DataSet'!$L58)</f>
        <v>1</v>
      </c>
      <c r="R58" t="str">
        <f>TEXT('Main DataSet'!$L58,"MM-YYYY")</f>
        <v>01-2025</v>
      </c>
    </row>
    <row r="59" spans="1:18" ht="15.75" customHeight="1" x14ac:dyDescent="0.2">
      <c r="A59" t="s">
        <v>202</v>
      </c>
      <c r="B59">
        <v>567798</v>
      </c>
      <c r="C59" t="s">
        <v>203</v>
      </c>
      <c r="D59">
        <v>582149472587</v>
      </c>
      <c r="E59" t="s">
        <v>35</v>
      </c>
      <c r="F59" t="s">
        <v>73</v>
      </c>
      <c r="G59" t="s">
        <v>74</v>
      </c>
      <c r="H59" t="s">
        <v>67</v>
      </c>
      <c r="I59" t="s">
        <v>48</v>
      </c>
      <c r="J59">
        <v>125796.18</v>
      </c>
      <c r="K59" t="s">
        <v>49</v>
      </c>
      <c r="L59" s="2">
        <v>45518</v>
      </c>
      <c r="M59" t="s">
        <v>168</v>
      </c>
      <c r="N59">
        <v>310897.05</v>
      </c>
      <c r="O59" t="s">
        <v>25</v>
      </c>
      <c r="P59">
        <f>YEAR('Main DataSet'!$L59)</f>
        <v>2024</v>
      </c>
      <c r="Q59">
        <f>MONTH('Main DataSet'!$L59)</f>
        <v>8</v>
      </c>
      <c r="R59" t="str">
        <f>TEXT('Main DataSet'!$L59,"MM-YYYY")</f>
        <v>08-2024</v>
      </c>
    </row>
    <row r="60" spans="1:18" ht="15.75" customHeight="1" x14ac:dyDescent="0.2">
      <c r="A60" t="s">
        <v>204</v>
      </c>
      <c r="B60">
        <v>552695</v>
      </c>
      <c r="C60" t="s">
        <v>205</v>
      </c>
      <c r="D60">
        <v>604716561890</v>
      </c>
      <c r="E60" t="s">
        <v>18</v>
      </c>
      <c r="F60" t="s">
        <v>156</v>
      </c>
      <c r="G60" t="s">
        <v>157</v>
      </c>
      <c r="H60" t="s">
        <v>70</v>
      </c>
      <c r="I60" t="s">
        <v>53</v>
      </c>
      <c r="J60">
        <v>450326.06</v>
      </c>
      <c r="K60" t="s">
        <v>98</v>
      </c>
      <c r="L60" s="2">
        <v>45651</v>
      </c>
      <c r="M60" t="s">
        <v>24</v>
      </c>
      <c r="N60">
        <v>686226.5</v>
      </c>
      <c r="O60" t="s">
        <v>25</v>
      </c>
      <c r="P60">
        <f>YEAR('Main DataSet'!$L60)</f>
        <v>2024</v>
      </c>
      <c r="Q60">
        <f>MONTH('Main DataSet'!$L60)</f>
        <v>12</v>
      </c>
      <c r="R60" t="str">
        <f>TEXT('Main DataSet'!$L60,"MM-YYYY")</f>
        <v>12-2024</v>
      </c>
    </row>
    <row r="61" spans="1:18" ht="15.75" customHeight="1" x14ac:dyDescent="0.2">
      <c r="A61" t="s">
        <v>206</v>
      </c>
      <c r="B61">
        <v>683741</v>
      </c>
      <c r="C61" t="s">
        <v>207</v>
      </c>
      <c r="D61">
        <v>930540134859</v>
      </c>
      <c r="E61" t="s">
        <v>28</v>
      </c>
      <c r="F61" t="s">
        <v>192</v>
      </c>
      <c r="G61" t="s">
        <v>193</v>
      </c>
      <c r="H61" t="s">
        <v>70</v>
      </c>
      <c r="I61" t="s">
        <v>22</v>
      </c>
      <c r="J61">
        <v>511661.67</v>
      </c>
      <c r="K61" t="s">
        <v>32</v>
      </c>
      <c r="L61" s="2">
        <v>45415</v>
      </c>
      <c r="M61" t="s">
        <v>24</v>
      </c>
      <c r="N61">
        <v>613016.15</v>
      </c>
      <c r="O61" t="s">
        <v>25</v>
      </c>
      <c r="P61">
        <f>YEAR('Main DataSet'!$L61)</f>
        <v>2024</v>
      </c>
      <c r="Q61">
        <f>MONTH('Main DataSet'!$L61)</f>
        <v>5</v>
      </c>
      <c r="R61" t="str">
        <f>TEXT('Main DataSet'!$L61,"MM-YYYY")</f>
        <v>05-2024</v>
      </c>
    </row>
    <row r="62" spans="1:18" ht="15.75" customHeight="1" x14ac:dyDescent="0.2">
      <c r="A62" t="s">
        <v>208</v>
      </c>
      <c r="B62">
        <v>553618</v>
      </c>
      <c r="C62" t="s">
        <v>209</v>
      </c>
      <c r="D62">
        <v>667033396764</v>
      </c>
      <c r="E62" t="s">
        <v>18</v>
      </c>
      <c r="F62" t="s">
        <v>56</v>
      </c>
      <c r="G62" t="s">
        <v>57</v>
      </c>
      <c r="H62" t="s">
        <v>21</v>
      </c>
      <c r="I62" t="s">
        <v>53</v>
      </c>
      <c r="J62">
        <v>188748.49</v>
      </c>
      <c r="K62" t="s">
        <v>32</v>
      </c>
      <c r="L62" s="2">
        <v>45698</v>
      </c>
      <c r="M62" t="s">
        <v>24</v>
      </c>
      <c r="N62">
        <v>631156.77</v>
      </c>
      <c r="O62" t="s">
        <v>25</v>
      </c>
      <c r="P62">
        <f>YEAR('Main DataSet'!$L62)</f>
        <v>2025</v>
      </c>
      <c r="Q62">
        <f>MONTH('Main DataSet'!$L62)</f>
        <v>2</v>
      </c>
      <c r="R62" t="str">
        <f>TEXT('Main DataSet'!$L62,"MM-YYYY")</f>
        <v>02-2025</v>
      </c>
    </row>
    <row r="63" spans="1:18" ht="15.75" customHeight="1" x14ac:dyDescent="0.2">
      <c r="A63" t="s">
        <v>210</v>
      </c>
      <c r="B63">
        <v>883947</v>
      </c>
      <c r="C63" t="s">
        <v>211</v>
      </c>
      <c r="D63">
        <v>261079556384</v>
      </c>
      <c r="E63" t="s">
        <v>64</v>
      </c>
      <c r="F63" t="s">
        <v>177</v>
      </c>
      <c r="G63" t="s">
        <v>178</v>
      </c>
      <c r="H63" t="s">
        <v>31</v>
      </c>
      <c r="I63" t="s">
        <v>53</v>
      </c>
      <c r="J63">
        <v>336060.86</v>
      </c>
      <c r="K63" t="s">
        <v>49</v>
      </c>
      <c r="L63" s="2">
        <v>45581</v>
      </c>
      <c r="M63" t="s">
        <v>24</v>
      </c>
      <c r="N63">
        <v>501511.86</v>
      </c>
      <c r="O63" t="s">
        <v>25</v>
      </c>
      <c r="P63">
        <f>YEAR('Main DataSet'!$L63)</f>
        <v>2024</v>
      </c>
      <c r="Q63">
        <f>MONTH('Main DataSet'!$L63)</f>
        <v>10</v>
      </c>
      <c r="R63" t="str">
        <f>TEXT('Main DataSet'!$L63,"MM-YYYY")</f>
        <v>10-2024</v>
      </c>
    </row>
    <row r="64" spans="1:18" ht="15.75" customHeight="1" x14ac:dyDescent="0.2">
      <c r="A64" t="s">
        <v>212</v>
      </c>
      <c r="B64">
        <v>561029</v>
      </c>
      <c r="C64" t="s">
        <v>213</v>
      </c>
      <c r="D64">
        <v>160461931506</v>
      </c>
      <c r="E64" t="s">
        <v>64</v>
      </c>
      <c r="F64" t="s">
        <v>65</v>
      </c>
      <c r="G64" t="s">
        <v>66</v>
      </c>
      <c r="H64" t="s">
        <v>31</v>
      </c>
      <c r="I64" t="s">
        <v>38</v>
      </c>
      <c r="J64">
        <v>62046.95</v>
      </c>
      <c r="K64" t="s">
        <v>98</v>
      </c>
      <c r="L64" s="2">
        <v>45666</v>
      </c>
      <c r="M64" t="s">
        <v>168</v>
      </c>
      <c r="N64">
        <v>375954.72</v>
      </c>
      <c r="O64" t="s">
        <v>25</v>
      </c>
      <c r="P64">
        <f>YEAR('Main DataSet'!$L64)</f>
        <v>2025</v>
      </c>
      <c r="Q64">
        <f>MONTH('Main DataSet'!$L64)</f>
        <v>1</v>
      </c>
      <c r="R64" t="str">
        <f>TEXT('Main DataSet'!$L64,"MM-YYYY")</f>
        <v>01-2025</v>
      </c>
    </row>
    <row r="65" spans="1:18" ht="15.75" customHeight="1" x14ac:dyDescent="0.2">
      <c r="A65" t="s">
        <v>214</v>
      </c>
      <c r="B65">
        <v>123451</v>
      </c>
      <c r="C65" t="s">
        <v>215</v>
      </c>
      <c r="D65">
        <v>775194651628</v>
      </c>
      <c r="E65" t="s">
        <v>28</v>
      </c>
      <c r="F65" t="s">
        <v>216</v>
      </c>
      <c r="G65" t="s">
        <v>217</v>
      </c>
      <c r="H65" t="s">
        <v>67</v>
      </c>
      <c r="I65" t="s">
        <v>48</v>
      </c>
      <c r="J65">
        <v>186460.63</v>
      </c>
      <c r="K65" t="s">
        <v>39</v>
      </c>
      <c r="L65" s="2">
        <v>45357</v>
      </c>
      <c r="M65" t="s">
        <v>113</v>
      </c>
      <c r="N65">
        <v>687831.58000000007</v>
      </c>
      <c r="O65" t="s">
        <v>25</v>
      </c>
      <c r="P65">
        <f>YEAR('Main DataSet'!$L65)</f>
        <v>2024</v>
      </c>
      <c r="Q65">
        <f>MONTH('Main DataSet'!$L65)</f>
        <v>3</v>
      </c>
      <c r="R65" t="str">
        <f>TEXT('Main DataSet'!$L65,"MM-YYYY")</f>
        <v>03-2024</v>
      </c>
    </row>
    <row r="66" spans="1:18" ht="15.75" customHeight="1" x14ac:dyDescent="0.2">
      <c r="A66" t="s">
        <v>218</v>
      </c>
      <c r="B66">
        <v>932665</v>
      </c>
      <c r="C66" t="s">
        <v>219</v>
      </c>
      <c r="D66">
        <v>684612790738</v>
      </c>
      <c r="E66" t="s">
        <v>28</v>
      </c>
      <c r="F66" t="s">
        <v>216</v>
      </c>
      <c r="G66" t="s">
        <v>217</v>
      </c>
      <c r="H66" t="s">
        <v>21</v>
      </c>
      <c r="I66" t="s">
        <v>48</v>
      </c>
      <c r="J66">
        <v>10454.32</v>
      </c>
      <c r="K66" t="s">
        <v>98</v>
      </c>
      <c r="L66" s="2">
        <v>45475</v>
      </c>
      <c r="M66" t="s">
        <v>24</v>
      </c>
      <c r="N66">
        <v>167674.6</v>
      </c>
      <c r="O66" t="s">
        <v>25</v>
      </c>
      <c r="P66">
        <f>YEAR('Main DataSet'!$L66)</f>
        <v>2024</v>
      </c>
      <c r="Q66">
        <f>MONTH('Main DataSet'!$L66)</f>
        <v>7</v>
      </c>
      <c r="R66" t="str">
        <f>TEXT('Main DataSet'!$L66,"MM-YYYY")</f>
        <v>07-2024</v>
      </c>
    </row>
    <row r="67" spans="1:18" ht="15.75" customHeight="1" x14ac:dyDescent="0.2">
      <c r="A67" t="s">
        <v>220</v>
      </c>
      <c r="B67">
        <v>105013</v>
      </c>
      <c r="C67" t="s">
        <v>221</v>
      </c>
      <c r="D67">
        <v>244696373610</v>
      </c>
      <c r="E67" t="s">
        <v>64</v>
      </c>
      <c r="F67" t="s">
        <v>146</v>
      </c>
      <c r="G67" t="s">
        <v>147</v>
      </c>
      <c r="H67" t="s">
        <v>31</v>
      </c>
      <c r="I67" t="s">
        <v>53</v>
      </c>
      <c r="J67">
        <v>207043.55</v>
      </c>
      <c r="K67" t="s">
        <v>49</v>
      </c>
      <c r="L67" s="2">
        <v>45569</v>
      </c>
      <c r="M67" t="s">
        <v>24</v>
      </c>
      <c r="N67">
        <v>1957746.55</v>
      </c>
      <c r="O67" t="s">
        <v>25</v>
      </c>
      <c r="P67">
        <f>YEAR('Main DataSet'!$L67)</f>
        <v>2024</v>
      </c>
      <c r="Q67">
        <f>MONTH('Main DataSet'!$L67)</f>
        <v>10</v>
      </c>
      <c r="R67" t="str">
        <f>TEXT('Main DataSet'!$L67,"MM-YYYY")</f>
        <v>10-2024</v>
      </c>
    </row>
    <row r="68" spans="1:18" ht="15.75" customHeight="1" x14ac:dyDescent="0.2">
      <c r="A68" t="s">
        <v>222</v>
      </c>
      <c r="B68">
        <v>876150</v>
      </c>
      <c r="C68" t="s">
        <v>223</v>
      </c>
      <c r="D68">
        <v>232180677568</v>
      </c>
      <c r="E68" t="s">
        <v>64</v>
      </c>
      <c r="F68" t="s">
        <v>146</v>
      </c>
      <c r="G68" t="s">
        <v>147</v>
      </c>
      <c r="H68" t="s">
        <v>31</v>
      </c>
      <c r="I68" t="s">
        <v>48</v>
      </c>
      <c r="J68">
        <v>2685.68</v>
      </c>
      <c r="K68" t="s">
        <v>98</v>
      </c>
      <c r="L68" s="2">
        <v>45642</v>
      </c>
      <c r="M68" t="s">
        <v>24</v>
      </c>
      <c r="N68">
        <v>1087487.46</v>
      </c>
      <c r="O68" t="s">
        <v>25</v>
      </c>
      <c r="P68">
        <f>YEAR('Main DataSet'!$L68)</f>
        <v>2024</v>
      </c>
      <c r="Q68">
        <f>MONTH('Main DataSet'!$L68)</f>
        <v>12</v>
      </c>
      <c r="R68" t="str">
        <f>TEXT('Main DataSet'!$L68,"MM-YYYY")</f>
        <v>12-2024</v>
      </c>
    </row>
    <row r="69" spans="1:18" ht="15.75" customHeight="1" x14ac:dyDescent="0.2">
      <c r="A69" t="s">
        <v>224</v>
      </c>
      <c r="B69">
        <v>897276</v>
      </c>
      <c r="C69" t="s">
        <v>225</v>
      </c>
      <c r="D69">
        <v>189711713821</v>
      </c>
      <c r="E69" t="s">
        <v>18</v>
      </c>
      <c r="F69" t="s">
        <v>19</v>
      </c>
      <c r="G69" t="s">
        <v>20</v>
      </c>
      <c r="H69" t="s">
        <v>31</v>
      </c>
      <c r="I69" t="s">
        <v>38</v>
      </c>
      <c r="J69">
        <v>86872.7</v>
      </c>
      <c r="K69" t="s">
        <v>23</v>
      </c>
      <c r="L69" s="2">
        <v>45266</v>
      </c>
      <c r="M69" t="s">
        <v>24</v>
      </c>
      <c r="N69">
        <v>1480230.05</v>
      </c>
      <c r="O69" t="s">
        <v>25</v>
      </c>
      <c r="P69">
        <f>YEAR('Main DataSet'!$L69)</f>
        <v>2023</v>
      </c>
      <c r="Q69">
        <f>MONTH('Main DataSet'!$L69)</f>
        <v>12</v>
      </c>
      <c r="R69" t="str">
        <f>TEXT('Main DataSet'!$L69,"MM-YYYY")</f>
        <v>12-2023</v>
      </c>
    </row>
    <row r="70" spans="1:18" ht="15.75" customHeight="1" x14ac:dyDescent="0.2">
      <c r="A70" t="s">
        <v>226</v>
      </c>
      <c r="B70">
        <v>817632</v>
      </c>
      <c r="C70" t="s">
        <v>227</v>
      </c>
      <c r="D70">
        <v>414860744072</v>
      </c>
      <c r="E70" t="s">
        <v>91</v>
      </c>
      <c r="F70" t="s">
        <v>162</v>
      </c>
      <c r="G70" t="s">
        <v>163</v>
      </c>
      <c r="H70" t="s">
        <v>31</v>
      </c>
      <c r="I70" t="s">
        <v>48</v>
      </c>
      <c r="J70">
        <v>254430.23</v>
      </c>
      <c r="K70" t="s">
        <v>39</v>
      </c>
      <c r="L70" s="2">
        <v>45286</v>
      </c>
      <c r="M70" t="s">
        <v>168</v>
      </c>
      <c r="N70">
        <v>506011.52</v>
      </c>
      <c r="O70" t="s">
        <v>25</v>
      </c>
      <c r="P70">
        <f>YEAR('Main DataSet'!$L70)</f>
        <v>2023</v>
      </c>
      <c r="Q70">
        <f>MONTH('Main DataSet'!$L70)</f>
        <v>12</v>
      </c>
      <c r="R70" t="str">
        <f>TEXT('Main DataSet'!$L70,"MM-YYYY")</f>
        <v>12-2023</v>
      </c>
    </row>
    <row r="71" spans="1:18" ht="15.75" customHeight="1" x14ac:dyDescent="0.2">
      <c r="A71" t="s">
        <v>228</v>
      </c>
      <c r="B71">
        <v>910508</v>
      </c>
      <c r="C71" t="s">
        <v>229</v>
      </c>
      <c r="D71">
        <v>726091926541</v>
      </c>
      <c r="E71" t="s">
        <v>28</v>
      </c>
      <c r="F71" t="s">
        <v>79</v>
      </c>
      <c r="G71" t="s">
        <v>80</v>
      </c>
      <c r="H71" t="s">
        <v>67</v>
      </c>
      <c r="I71" t="s">
        <v>38</v>
      </c>
      <c r="J71">
        <v>2142.71</v>
      </c>
      <c r="K71" t="s">
        <v>23</v>
      </c>
      <c r="L71" s="2">
        <v>45453</v>
      </c>
      <c r="M71" t="s">
        <v>24</v>
      </c>
      <c r="N71">
        <v>175635.71</v>
      </c>
      <c r="O71" t="s">
        <v>25</v>
      </c>
      <c r="P71">
        <f>YEAR('Main DataSet'!$L71)</f>
        <v>2024</v>
      </c>
      <c r="Q71">
        <f>MONTH('Main DataSet'!$L71)</f>
        <v>6</v>
      </c>
      <c r="R71" t="str">
        <f>TEXT('Main DataSet'!$L71,"MM-YYYY")</f>
        <v>06-2024</v>
      </c>
    </row>
    <row r="72" spans="1:18" ht="15.75" customHeight="1" x14ac:dyDescent="0.2">
      <c r="A72" t="s">
        <v>230</v>
      </c>
      <c r="B72">
        <v>651220</v>
      </c>
      <c r="C72" t="s">
        <v>231</v>
      </c>
      <c r="D72">
        <v>260561696809</v>
      </c>
      <c r="E72" t="s">
        <v>28</v>
      </c>
      <c r="F72" t="s">
        <v>29</v>
      </c>
      <c r="G72" t="s">
        <v>30</v>
      </c>
      <c r="H72" t="s">
        <v>67</v>
      </c>
      <c r="I72" t="s">
        <v>38</v>
      </c>
      <c r="J72">
        <v>126982.03</v>
      </c>
      <c r="K72" t="s">
        <v>98</v>
      </c>
      <c r="L72" s="2">
        <v>45710</v>
      </c>
      <c r="M72" t="s">
        <v>24</v>
      </c>
      <c r="N72">
        <v>579930.85</v>
      </c>
      <c r="O72" t="s">
        <v>25</v>
      </c>
      <c r="P72">
        <f>YEAR('Main DataSet'!$L72)</f>
        <v>2025</v>
      </c>
      <c r="Q72">
        <f>MONTH('Main DataSet'!$L72)</f>
        <v>2</v>
      </c>
      <c r="R72" t="str">
        <f>TEXT('Main DataSet'!$L72,"MM-YYYY")</f>
        <v>02-2025</v>
      </c>
    </row>
    <row r="73" spans="1:18" ht="15.75" customHeight="1" x14ac:dyDescent="0.2">
      <c r="A73" t="s">
        <v>232</v>
      </c>
      <c r="B73">
        <v>820049</v>
      </c>
      <c r="C73" t="s">
        <v>233</v>
      </c>
      <c r="D73">
        <v>939671397979</v>
      </c>
      <c r="E73" t="s">
        <v>35</v>
      </c>
      <c r="F73" t="s">
        <v>136</v>
      </c>
      <c r="G73" t="s">
        <v>137</v>
      </c>
      <c r="H73" t="s">
        <v>67</v>
      </c>
      <c r="I73" t="s">
        <v>53</v>
      </c>
      <c r="J73">
        <v>42148.13</v>
      </c>
      <c r="K73" t="s">
        <v>49</v>
      </c>
      <c r="L73" s="2">
        <v>45601</v>
      </c>
      <c r="M73" t="s">
        <v>24</v>
      </c>
      <c r="N73">
        <v>2030256.51</v>
      </c>
      <c r="O73" t="s">
        <v>25</v>
      </c>
      <c r="P73">
        <f>YEAR('Main DataSet'!$L73)</f>
        <v>2024</v>
      </c>
      <c r="Q73">
        <f>MONTH('Main DataSet'!$L73)</f>
        <v>11</v>
      </c>
      <c r="R73" t="str">
        <f>TEXT('Main DataSet'!$L73,"MM-YYYY")</f>
        <v>11-2024</v>
      </c>
    </row>
    <row r="74" spans="1:18" ht="15.75" customHeight="1" x14ac:dyDescent="0.2">
      <c r="A74" t="s">
        <v>234</v>
      </c>
      <c r="B74">
        <v>679021</v>
      </c>
      <c r="C74" t="s">
        <v>235</v>
      </c>
      <c r="D74">
        <v>721091509137</v>
      </c>
      <c r="E74" t="s">
        <v>35</v>
      </c>
      <c r="F74" t="s">
        <v>73</v>
      </c>
      <c r="G74" t="s">
        <v>74</v>
      </c>
      <c r="H74" t="s">
        <v>21</v>
      </c>
      <c r="I74" t="s">
        <v>53</v>
      </c>
      <c r="J74">
        <v>394326.09</v>
      </c>
      <c r="K74" t="s">
        <v>23</v>
      </c>
      <c r="L74" s="2">
        <v>45222</v>
      </c>
      <c r="M74" t="s">
        <v>24</v>
      </c>
      <c r="N74">
        <v>1896600.3</v>
      </c>
      <c r="O74" t="s">
        <v>25</v>
      </c>
      <c r="P74">
        <f>YEAR('Main DataSet'!$L74)</f>
        <v>2023</v>
      </c>
      <c r="Q74">
        <f>MONTH('Main DataSet'!$L74)</f>
        <v>10</v>
      </c>
      <c r="R74" t="str">
        <f>TEXT('Main DataSet'!$L74,"MM-YYYY")</f>
        <v>10-2023</v>
      </c>
    </row>
    <row r="75" spans="1:18" ht="15.75" customHeight="1" x14ac:dyDescent="0.2">
      <c r="A75" t="s">
        <v>236</v>
      </c>
      <c r="B75">
        <v>256851</v>
      </c>
      <c r="C75" t="s">
        <v>237</v>
      </c>
      <c r="D75">
        <v>174251495558</v>
      </c>
      <c r="E75" t="s">
        <v>91</v>
      </c>
      <c r="F75" t="s">
        <v>130</v>
      </c>
      <c r="G75" t="s">
        <v>131</v>
      </c>
      <c r="H75" t="s">
        <v>70</v>
      </c>
      <c r="I75" t="s">
        <v>38</v>
      </c>
      <c r="J75">
        <v>111775.28</v>
      </c>
      <c r="K75" t="s">
        <v>98</v>
      </c>
      <c r="L75" s="2">
        <v>45529</v>
      </c>
      <c r="M75" t="s">
        <v>168</v>
      </c>
      <c r="N75">
        <v>1569398.54</v>
      </c>
      <c r="O75" t="s">
        <v>25</v>
      </c>
      <c r="P75">
        <f>YEAR('Main DataSet'!$L75)</f>
        <v>2024</v>
      </c>
      <c r="Q75">
        <f>MONTH('Main DataSet'!$L75)</f>
        <v>8</v>
      </c>
      <c r="R75" t="str">
        <f>TEXT('Main DataSet'!$L75,"MM-YYYY")</f>
        <v>08-2024</v>
      </c>
    </row>
    <row r="76" spans="1:18" ht="15.75" customHeight="1" x14ac:dyDescent="0.2">
      <c r="A76" t="s">
        <v>238</v>
      </c>
      <c r="B76">
        <v>761621</v>
      </c>
      <c r="C76" t="s">
        <v>239</v>
      </c>
      <c r="D76">
        <v>335715085702</v>
      </c>
      <c r="E76" t="s">
        <v>35</v>
      </c>
      <c r="F76" t="s">
        <v>60</v>
      </c>
      <c r="G76" t="s">
        <v>61</v>
      </c>
      <c r="H76" t="s">
        <v>67</v>
      </c>
      <c r="I76" t="s">
        <v>48</v>
      </c>
      <c r="J76">
        <v>108963.54</v>
      </c>
      <c r="K76" t="s">
        <v>32</v>
      </c>
      <c r="L76" s="2">
        <v>45761</v>
      </c>
      <c r="M76" t="s">
        <v>24</v>
      </c>
      <c r="N76">
        <v>222485.48</v>
      </c>
      <c r="O76" t="s">
        <v>25</v>
      </c>
      <c r="P76">
        <f>YEAR('Main DataSet'!$L76)</f>
        <v>2025</v>
      </c>
      <c r="Q76">
        <f>MONTH('Main DataSet'!$L76)</f>
        <v>4</v>
      </c>
      <c r="R76" t="str">
        <f>TEXT('Main DataSet'!$L76,"MM-YYYY")</f>
        <v>04-2025</v>
      </c>
    </row>
    <row r="77" spans="1:18" ht="15.75" customHeight="1" x14ac:dyDescent="0.2">
      <c r="A77" t="s">
        <v>240</v>
      </c>
      <c r="B77">
        <v>615769</v>
      </c>
      <c r="C77" t="s">
        <v>241</v>
      </c>
      <c r="D77">
        <v>407129016960</v>
      </c>
      <c r="E77" t="s">
        <v>91</v>
      </c>
      <c r="F77" t="s">
        <v>162</v>
      </c>
      <c r="G77" t="s">
        <v>163</v>
      </c>
      <c r="H77" t="s">
        <v>31</v>
      </c>
      <c r="I77" t="s">
        <v>53</v>
      </c>
      <c r="J77">
        <v>5467.69</v>
      </c>
      <c r="K77" t="s">
        <v>39</v>
      </c>
      <c r="L77" s="2">
        <v>45518</v>
      </c>
      <c r="M77" t="s">
        <v>24</v>
      </c>
      <c r="N77">
        <v>300060.15000000002</v>
      </c>
      <c r="O77" t="s">
        <v>25</v>
      </c>
      <c r="P77">
        <f>YEAR('Main DataSet'!$L77)</f>
        <v>2024</v>
      </c>
      <c r="Q77">
        <f>MONTH('Main DataSet'!$L77)</f>
        <v>8</v>
      </c>
      <c r="R77" t="str">
        <f>TEXT('Main DataSet'!$L77,"MM-YYYY")</f>
        <v>08-2024</v>
      </c>
    </row>
    <row r="78" spans="1:18" ht="15.75" customHeight="1" x14ac:dyDescent="0.2">
      <c r="A78" t="s">
        <v>242</v>
      </c>
      <c r="B78">
        <v>964477</v>
      </c>
      <c r="C78" t="s">
        <v>243</v>
      </c>
      <c r="D78">
        <v>273078175564</v>
      </c>
      <c r="E78" t="s">
        <v>64</v>
      </c>
      <c r="F78" t="s">
        <v>146</v>
      </c>
      <c r="G78" t="s">
        <v>147</v>
      </c>
      <c r="H78" t="s">
        <v>67</v>
      </c>
      <c r="I78" t="s">
        <v>48</v>
      </c>
      <c r="J78">
        <v>77594.36</v>
      </c>
      <c r="K78" t="s">
        <v>23</v>
      </c>
      <c r="L78" s="2">
        <v>45170</v>
      </c>
      <c r="M78" t="s">
        <v>24</v>
      </c>
      <c r="N78">
        <v>1469822.53</v>
      </c>
      <c r="O78" t="s">
        <v>25</v>
      </c>
      <c r="P78">
        <f>YEAR('Main DataSet'!$L78)</f>
        <v>2023</v>
      </c>
      <c r="Q78">
        <f>MONTH('Main DataSet'!$L78)</f>
        <v>9</v>
      </c>
      <c r="R78" t="str">
        <f>TEXT('Main DataSet'!$L78,"MM-YYYY")</f>
        <v>09-2023</v>
      </c>
    </row>
    <row r="79" spans="1:18" ht="15.75" customHeight="1" x14ac:dyDescent="0.2">
      <c r="A79" t="s">
        <v>244</v>
      </c>
      <c r="B79">
        <v>619316</v>
      </c>
      <c r="C79" t="s">
        <v>245</v>
      </c>
      <c r="D79">
        <v>921865469550</v>
      </c>
      <c r="E79" t="s">
        <v>18</v>
      </c>
      <c r="F79" t="s">
        <v>19</v>
      </c>
      <c r="G79" t="s">
        <v>20</v>
      </c>
      <c r="H79" t="s">
        <v>70</v>
      </c>
      <c r="I79" t="s">
        <v>38</v>
      </c>
      <c r="J79">
        <v>130332.95</v>
      </c>
      <c r="K79" t="s">
        <v>98</v>
      </c>
      <c r="L79" s="2">
        <v>45250</v>
      </c>
      <c r="M79" t="s">
        <v>24</v>
      </c>
      <c r="N79">
        <v>202394.12</v>
      </c>
      <c r="O79" t="s">
        <v>25</v>
      </c>
      <c r="P79">
        <f>YEAR('Main DataSet'!$L79)</f>
        <v>2023</v>
      </c>
      <c r="Q79">
        <f>MONTH('Main DataSet'!$L79)</f>
        <v>11</v>
      </c>
      <c r="R79" t="str">
        <f>TEXT('Main DataSet'!$L79,"MM-YYYY")</f>
        <v>11-2023</v>
      </c>
    </row>
    <row r="80" spans="1:18" ht="15.75" customHeight="1" x14ac:dyDescent="0.2">
      <c r="A80" t="s">
        <v>246</v>
      </c>
      <c r="B80">
        <v>258410</v>
      </c>
      <c r="C80" t="s">
        <v>247</v>
      </c>
      <c r="D80">
        <v>668697508911</v>
      </c>
      <c r="E80" t="s">
        <v>18</v>
      </c>
      <c r="F80" t="s">
        <v>87</v>
      </c>
      <c r="G80" t="s">
        <v>88</v>
      </c>
      <c r="H80" t="s">
        <v>31</v>
      </c>
      <c r="I80" t="s">
        <v>53</v>
      </c>
      <c r="J80">
        <v>431597.82</v>
      </c>
      <c r="K80" t="s">
        <v>23</v>
      </c>
      <c r="L80" s="2">
        <v>45281</v>
      </c>
      <c r="M80" t="s">
        <v>24</v>
      </c>
      <c r="N80">
        <v>2153343.14</v>
      </c>
      <c r="O80" t="s">
        <v>25</v>
      </c>
      <c r="P80">
        <f>YEAR('Main DataSet'!$L80)</f>
        <v>2023</v>
      </c>
      <c r="Q80">
        <f>MONTH('Main DataSet'!$L80)</f>
        <v>12</v>
      </c>
      <c r="R80" t="str">
        <f>TEXT('Main DataSet'!$L80,"MM-YYYY")</f>
        <v>12-2023</v>
      </c>
    </row>
    <row r="81" spans="1:18" ht="15.75" customHeight="1" x14ac:dyDescent="0.2">
      <c r="A81" t="s">
        <v>248</v>
      </c>
      <c r="B81">
        <v>683367</v>
      </c>
      <c r="C81" t="s">
        <v>249</v>
      </c>
      <c r="D81">
        <v>982009733970</v>
      </c>
      <c r="E81" t="s">
        <v>91</v>
      </c>
      <c r="F81" t="s">
        <v>130</v>
      </c>
      <c r="G81" t="s">
        <v>131</v>
      </c>
      <c r="H81" t="s">
        <v>31</v>
      </c>
      <c r="I81" t="s">
        <v>22</v>
      </c>
      <c r="J81">
        <v>329340.40999999997</v>
      </c>
      <c r="K81" t="s">
        <v>32</v>
      </c>
      <c r="L81" s="2">
        <v>45245</v>
      </c>
      <c r="M81" t="s">
        <v>24</v>
      </c>
      <c r="N81">
        <v>1368075.07</v>
      </c>
      <c r="O81" t="s">
        <v>25</v>
      </c>
      <c r="P81">
        <f>YEAR('Main DataSet'!$L81)</f>
        <v>2023</v>
      </c>
      <c r="Q81">
        <f>MONTH('Main DataSet'!$L81)</f>
        <v>11</v>
      </c>
      <c r="R81" t="str">
        <f>TEXT('Main DataSet'!$L81,"MM-YYYY")</f>
        <v>11-2023</v>
      </c>
    </row>
    <row r="82" spans="1:18" ht="15.75" customHeight="1" x14ac:dyDescent="0.2">
      <c r="A82" t="s">
        <v>250</v>
      </c>
      <c r="B82">
        <v>685188</v>
      </c>
      <c r="C82" t="s">
        <v>251</v>
      </c>
      <c r="D82">
        <v>440841637325</v>
      </c>
      <c r="E82" t="s">
        <v>91</v>
      </c>
      <c r="F82" t="s">
        <v>109</v>
      </c>
      <c r="G82" t="s">
        <v>110</v>
      </c>
      <c r="H82" t="s">
        <v>31</v>
      </c>
      <c r="I82" t="s">
        <v>48</v>
      </c>
      <c r="J82">
        <v>230671.33</v>
      </c>
      <c r="K82" t="s">
        <v>98</v>
      </c>
      <c r="L82" s="2">
        <v>45732</v>
      </c>
      <c r="M82" t="s">
        <v>24</v>
      </c>
      <c r="N82">
        <v>793311.08</v>
      </c>
      <c r="O82" t="s">
        <v>25</v>
      </c>
      <c r="P82">
        <f>YEAR('Main DataSet'!$L82)</f>
        <v>2025</v>
      </c>
      <c r="Q82">
        <f>MONTH('Main DataSet'!$L82)</f>
        <v>3</v>
      </c>
      <c r="R82" t="str">
        <f>TEXT('Main DataSet'!$L82,"MM-YYYY")</f>
        <v>03-2025</v>
      </c>
    </row>
    <row r="83" spans="1:18" ht="15.75" customHeight="1" x14ac:dyDescent="0.2">
      <c r="A83" t="s">
        <v>252</v>
      </c>
      <c r="B83">
        <v>861387</v>
      </c>
      <c r="C83" t="s">
        <v>253</v>
      </c>
      <c r="D83">
        <v>206376466987</v>
      </c>
      <c r="E83" t="s">
        <v>35</v>
      </c>
      <c r="F83" t="s">
        <v>73</v>
      </c>
      <c r="G83" t="s">
        <v>74</v>
      </c>
      <c r="H83" t="s">
        <v>67</v>
      </c>
      <c r="I83" t="s">
        <v>48</v>
      </c>
      <c r="J83">
        <v>151847.43</v>
      </c>
      <c r="K83" t="s">
        <v>98</v>
      </c>
      <c r="L83" s="2">
        <v>45408</v>
      </c>
      <c r="M83" t="s">
        <v>113</v>
      </c>
      <c r="N83">
        <v>245310.82</v>
      </c>
      <c r="O83" t="s">
        <v>25</v>
      </c>
      <c r="P83">
        <f>YEAR('Main DataSet'!$L83)</f>
        <v>2024</v>
      </c>
      <c r="Q83">
        <f>MONTH('Main DataSet'!$L83)</f>
        <v>4</v>
      </c>
      <c r="R83" t="str">
        <f>TEXT('Main DataSet'!$L83,"MM-YYYY")</f>
        <v>04-2024</v>
      </c>
    </row>
    <row r="84" spans="1:18" ht="15.75" customHeight="1" x14ac:dyDescent="0.2">
      <c r="A84" t="s">
        <v>254</v>
      </c>
      <c r="B84">
        <v>294793</v>
      </c>
      <c r="C84" t="s">
        <v>255</v>
      </c>
      <c r="D84">
        <v>396259742856</v>
      </c>
      <c r="E84" t="s">
        <v>64</v>
      </c>
      <c r="F84" t="s">
        <v>146</v>
      </c>
      <c r="G84" t="s">
        <v>147</v>
      </c>
      <c r="H84" t="s">
        <v>21</v>
      </c>
      <c r="I84" t="s">
        <v>48</v>
      </c>
      <c r="J84">
        <v>43912.42</v>
      </c>
      <c r="K84" t="s">
        <v>23</v>
      </c>
      <c r="L84" s="2">
        <v>45768</v>
      </c>
      <c r="M84" t="s">
        <v>24</v>
      </c>
      <c r="N84">
        <v>720514.71000000008</v>
      </c>
      <c r="O84" t="s">
        <v>25</v>
      </c>
      <c r="P84">
        <f>YEAR('Main DataSet'!$L84)</f>
        <v>2025</v>
      </c>
      <c r="Q84">
        <f>MONTH('Main DataSet'!$L84)</f>
        <v>4</v>
      </c>
      <c r="R84" t="str">
        <f>TEXT('Main DataSet'!$L84,"MM-YYYY")</f>
        <v>04-2025</v>
      </c>
    </row>
    <row r="85" spans="1:18" ht="15.75" customHeight="1" x14ac:dyDescent="0.2">
      <c r="A85" t="s">
        <v>256</v>
      </c>
      <c r="B85">
        <v>163591</v>
      </c>
      <c r="C85" t="s">
        <v>257</v>
      </c>
      <c r="D85">
        <v>643282698177</v>
      </c>
      <c r="E85" t="s">
        <v>64</v>
      </c>
      <c r="F85" t="s">
        <v>177</v>
      </c>
      <c r="G85" t="s">
        <v>178</v>
      </c>
      <c r="H85" t="s">
        <v>21</v>
      </c>
      <c r="I85" t="s">
        <v>48</v>
      </c>
      <c r="J85">
        <v>259387.62</v>
      </c>
      <c r="K85" t="s">
        <v>39</v>
      </c>
      <c r="L85" s="2">
        <v>45280</v>
      </c>
      <c r="M85" t="s">
        <v>24</v>
      </c>
      <c r="N85">
        <v>1341143.01</v>
      </c>
      <c r="O85" t="s">
        <v>25</v>
      </c>
      <c r="P85">
        <f>YEAR('Main DataSet'!$L85)</f>
        <v>2023</v>
      </c>
      <c r="Q85">
        <f>MONTH('Main DataSet'!$L85)</f>
        <v>12</v>
      </c>
      <c r="R85" t="str">
        <f>TEXT('Main DataSet'!$L85,"MM-YYYY")</f>
        <v>12-2023</v>
      </c>
    </row>
    <row r="86" spans="1:18" ht="15.75" customHeight="1" x14ac:dyDescent="0.2">
      <c r="A86" t="s">
        <v>258</v>
      </c>
      <c r="B86">
        <v>999369</v>
      </c>
      <c r="C86" t="s">
        <v>259</v>
      </c>
      <c r="D86">
        <v>693909368952</v>
      </c>
      <c r="E86" t="s">
        <v>35</v>
      </c>
      <c r="F86" t="s">
        <v>73</v>
      </c>
      <c r="G86" t="s">
        <v>74</v>
      </c>
      <c r="H86" t="s">
        <v>67</v>
      </c>
      <c r="I86" t="s">
        <v>38</v>
      </c>
      <c r="J86">
        <v>113984.02</v>
      </c>
      <c r="K86" t="s">
        <v>49</v>
      </c>
      <c r="L86" s="2">
        <v>45567</v>
      </c>
      <c r="M86" t="s">
        <v>24</v>
      </c>
      <c r="N86">
        <v>1568873.7</v>
      </c>
      <c r="O86" t="s">
        <v>179</v>
      </c>
      <c r="P86">
        <f>YEAR('Main DataSet'!$L86)</f>
        <v>2024</v>
      </c>
      <c r="Q86">
        <f>MONTH('Main DataSet'!$L86)</f>
        <v>10</v>
      </c>
      <c r="R86" t="str">
        <f>TEXT('Main DataSet'!$L86,"MM-YYYY")</f>
        <v>10-2024</v>
      </c>
    </row>
    <row r="87" spans="1:18" ht="15.75" customHeight="1" x14ac:dyDescent="0.2">
      <c r="A87" t="s">
        <v>260</v>
      </c>
      <c r="B87">
        <v>436075</v>
      </c>
      <c r="C87" t="s">
        <v>261</v>
      </c>
      <c r="D87">
        <v>405209357833</v>
      </c>
      <c r="E87" t="s">
        <v>28</v>
      </c>
      <c r="F87" t="s">
        <v>29</v>
      </c>
      <c r="G87" t="s">
        <v>30</v>
      </c>
      <c r="H87" t="s">
        <v>31</v>
      </c>
      <c r="I87" t="s">
        <v>53</v>
      </c>
      <c r="J87">
        <v>25673.64</v>
      </c>
      <c r="K87" t="s">
        <v>39</v>
      </c>
      <c r="L87" s="2">
        <v>45475</v>
      </c>
      <c r="M87" t="s">
        <v>24</v>
      </c>
      <c r="N87">
        <v>231828.22</v>
      </c>
      <c r="O87" t="s">
        <v>25</v>
      </c>
      <c r="P87">
        <f>YEAR('Main DataSet'!$L87)</f>
        <v>2024</v>
      </c>
      <c r="Q87">
        <f>MONTH('Main DataSet'!$L87)</f>
        <v>7</v>
      </c>
      <c r="R87" t="str">
        <f>TEXT('Main DataSet'!$L87,"MM-YYYY")</f>
        <v>07-2024</v>
      </c>
    </row>
    <row r="88" spans="1:18" ht="15.75" customHeight="1" x14ac:dyDescent="0.2">
      <c r="A88" t="s">
        <v>262</v>
      </c>
      <c r="B88">
        <v>246445</v>
      </c>
      <c r="C88" t="s">
        <v>263</v>
      </c>
      <c r="D88">
        <v>626901044244</v>
      </c>
      <c r="E88" t="s">
        <v>35</v>
      </c>
      <c r="F88" t="s">
        <v>36</v>
      </c>
      <c r="G88" t="s">
        <v>37</v>
      </c>
      <c r="H88" t="s">
        <v>67</v>
      </c>
      <c r="I88" t="s">
        <v>53</v>
      </c>
      <c r="J88">
        <v>373738.22</v>
      </c>
      <c r="K88" t="s">
        <v>23</v>
      </c>
      <c r="L88" s="2">
        <v>45773</v>
      </c>
      <c r="M88" t="s">
        <v>24</v>
      </c>
      <c r="N88">
        <v>759841.91999999993</v>
      </c>
      <c r="O88" t="s">
        <v>25</v>
      </c>
      <c r="P88">
        <f>YEAR('Main DataSet'!$L88)</f>
        <v>2025</v>
      </c>
      <c r="Q88">
        <f>MONTH('Main DataSet'!$L88)</f>
        <v>4</v>
      </c>
      <c r="R88" t="str">
        <f>TEXT('Main DataSet'!$L88,"MM-YYYY")</f>
        <v>04-2025</v>
      </c>
    </row>
    <row r="89" spans="1:18" ht="15.75" customHeight="1" x14ac:dyDescent="0.2">
      <c r="A89" t="s">
        <v>264</v>
      </c>
      <c r="B89">
        <v>649852</v>
      </c>
      <c r="C89" t="s">
        <v>265</v>
      </c>
      <c r="D89">
        <v>360164842230</v>
      </c>
      <c r="E89" t="s">
        <v>28</v>
      </c>
      <c r="F89" t="s">
        <v>150</v>
      </c>
      <c r="G89" t="s">
        <v>151</v>
      </c>
      <c r="H89" t="s">
        <v>70</v>
      </c>
      <c r="I89" t="s">
        <v>53</v>
      </c>
      <c r="J89">
        <v>135613.45000000001</v>
      </c>
      <c r="K89" t="s">
        <v>49</v>
      </c>
      <c r="L89" s="2">
        <v>45708</v>
      </c>
      <c r="M89" t="s">
        <v>24</v>
      </c>
      <c r="N89">
        <v>1878459.02</v>
      </c>
      <c r="O89" t="s">
        <v>25</v>
      </c>
      <c r="P89">
        <f>YEAR('Main DataSet'!$L89)</f>
        <v>2025</v>
      </c>
      <c r="Q89">
        <f>MONTH('Main DataSet'!$L89)</f>
        <v>2</v>
      </c>
      <c r="R89" t="str">
        <f>TEXT('Main DataSet'!$L89,"MM-YYYY")</f>
        <v>02-2025</v>
      </c>
    </row>
    <row r="90" spans="1:18" ht="15.75" customHeight="1" x14ac:dyDescent="0.2">
      <c r="A90" t="s">
        <v>266</v>
      </c>
      <c r="B90">
        <v>846632</v>
      </c>
      <c r="C90" t="s">
        <v>267</v>
      </c>
      <c r="D90">
        <v>791650643766</v>
      </c>
      <c r="E90" t="s">
        <v>35</v>
      </c>
      <c r="F90" t="s">
        <v>136</v>
      </c>
      <c r="G90" t="s">
        <v>137</v>
      </c>
      <c r="H90" t="s">
        <v>31</v>
      </c>
      <c r="I90" t="s">
        <v>38</v>
      </c>
      <c r="J90">
        <v>135727.92000000001</v>
      </c>
      <c r="K90" t="s">
        <v>23</v>
      </c>
      <c r="L90" s="2">
        <v>45128</v>
      </c>
      <c r="M90" t="s">
        <v>24</v>
      </c>
      <c r="N90">
        <v>80849.75</v>
      </c>
      <c r="O90" t="s">
        <v>25</v>
      </c>
      <c r="P90">
        <f>YEAR('Main DataSet'!$L90)</f>
        <v>2023</v>
      </c>
      <c r="Q90">
        <f>MONTH('Main DataSet'!$L90)</f>
        <v>7</v>
      </c>
      <c r="R90" t="str">
        <f>TEXT('Main DataSet'!$L90,"MM-YYYY")</f>
        <v>07-2023</v>
      </c>
    </row>
    <row r="91" spans="1:18" ht="15.75" customHeight="1" x14ac:dyDescent="0.2">
      <c r="A91" t="s">
        <v>268</v>
      </c>
      <c r="B91">
        <v>426604</v>
      </c>
      <c r="C91" t="s">
        <v>269</v>
      </c>
      <c r="D91">
        <v>694508992835</v>
      </c>
      <c r="E91" t="s">
        <v>28</v>
      </c>
      <c r="F91" t="s">
        <v>29</v>
      </c>
      <c r="G91" t="s">
        <v>30</v>
      </c>
      <c r="H91" t="s">
        <v>21</v>
      </c>
      <c r="I91" t="s">
        <v>22</v>
      </c>
      <c r="J91">
        <v>181205.51</v>
      </c>
      <c r="K91" t="s">
        <v>98</v>
      </c>
      <c r="L91" s="2">
        <v>45779</v>
      </c>
      <c r="M91" t="s">
        <v>24</v>
      </c>
      <c r="N91">
        <v>2162794.13</v>
      </c>
      <c r="O91" t="s">
        <v>25</v>
      </c>
      <c r="P91">
        <f>YEAR('Main DataSet'!$L91)</f>
        <v>2025</v>
      </c>
      <c r="Q91">
        <f>MONTH('Main DataSet'!$L91)</f>
        <v>5</v>
      </c>
      <c r="R91" t="str">
        <f>TEXT('Main DataSet'!$L91,"MM-YYYY")</f>
        <v>05-2025</v>
      </c>
    </row>
    <row r="92" spans="1:18" ht="15.75" customHeight="1" x14ac:dyDescent="0.2">
      <c r="A92" t="s">
        <v>270</v>
      </c>
      <c r="B92">
        <v>944525</v>
      </c>
      <c r="C92" t="s">
        <v>271</v>
      </c>
      <c r="D92">
        <v>109856223455</v>
      </c>
      <c r="E92" t="s">
        <v>64</v>
      </c>
      <c r="F92" t="s">
        <v>146</v>
      </c>
      <c r="G92" t="s">
        <v>147</v>
      </c>
      <c r="H92" t="s">
        <v>21</v>
      </c>
      <c r="I92" t="s">
        <v>48</v>
      </c>
      <c r="J92">
        <v>181990.14</v>
      </c>
      <c r="K92" t="s">
        <v>32</v>
      </c>
      <c r="L92" s="2">
        <v>45548</v>
      </c>
      <c r="M92" t="s">
        <v>24</v>
      </c>
      <c r="N92">
        <v>971684.35</v>
      </c>
      <c r="O92" t="s">
        <v>25</v>
      </c>
      <c r="P92">
        <f>YEAR('Main DataSet'!$L92)</f>
        <v>2024</v>
      </c>
      <c r="Q92">
        <f>MONTH('Main DataSet'!$L92)</f>
        <v>9</v>
      </c>
      <c r="R92" t="str">
        <f>TEXT('Main DataSet'!$L92,"MM-YYYY")</f>
        <v>09-2024</v>
      </c>
    </row>
    <row r="93" spans="1:18" ht="15.75" customHeight="1" x14ac:dyDescent="0.2">
      <c r="A93" t="s">
        <v>272</v>
      </c>
      <c r="B93">
        <v>592501</v>
      </c>
      <c r="C93" t="s">
        <v>273</v>
      </c>
      <c r="D93">
        <v>699404858667</v>
      </c>
      <c r="E93" t="s">
        <v>28</v>
      </c>
      <c r="F93" t="s">
        <v>150</v>
      </c>
      <c r="G93" t="s">
        <v>151</v>
      </c>
      <c r="H93" t="s">
        <v>67</v>
      </c>
      <c r="I93" t="s">
        <v>48</v>
      </c>
      <c r="J93">
        <v>156947.67000000001</v>
      </c>
      <c r="K93" t="s">
        <v>98</v>
      </c>
      <c r="L93" s="2">
        <v>45453</v>
      </c>
      <c r="M93" t="s">
        <v>24</v>
      </c>
      <c r="N93">
        <v>1603555.77</v>
      </c>
      <c r="O93" t="s">
        <v>25</v>
      </c>
      <c r="P93">
        <f>YEAR('Main DataSet'!$L93)</f>
        <v>2024</v>
      </c>
      <c r="Q93">
        <f>MONTH('Main DataSet'!$L93)</f>
        <v>6</v>
      </c>
      <c r="R93" t="str">
        <f>TEXT('Main DataSet'!$L93,"MM-YYYY")</f>
        <v>06-2024</v>
      </c>
    </row>
    <row r="94" spans="1:18" ht="15.75" customHeight="1" x14ac:dyDescent="0.2">
      <c r="A94" t="s">
        <v>274</v>
      </c>
      <c r="B94">
        <v>768984</v>
      </c>
      <c r="C94" t="s">
        <v>275</v>
      </c>
      <c r="D94">
        <v>208342410757</v>
      </c>
      <c r="E94" t="s">
        <v>35</v>
      </c>
      <c r="F94" t="s">
        <v>73</v>
      </c>
      <c r="G94" t="s">
        <v>74</v>
      </c>
      <c r="H94" t="s">
        <v>31</v>
      </c>
      <c r="I94" t="s">
        <v>48</v>
      </c>
      <c r="J94">
        <v>229674.46</v>
      </c>
      <c r="K94" t="s">
        <v>98</v>
      </c>
      <c r="L94" s="2">
        <v>45329</v>
      </c>
      <c r="M94" t="s">
        <v>24</v>
      </c>
      <c r="N94">
        <v>853283.80999999994</v>
      </c>
      <c r="O94" t="s">
        <v>25</v>
      </c>
      <c r="P94">
        <f>YEAR('Main DataSet'!$L94)</f>
        <v>2024</v>
      </c>
      <c r="Q94">
        <f>MONTH('Main DataSet'!$L94)</f>
        <v>2</v>
      </c>
      <c r="R94" t="str">
        <f>TEXT('Main DataSet'!$L94,"MM-YYYY")</f>
        <v>02-2024</v>
      </c>
    </row>
    <row r="95" spans="1:18" ht="15.75" customHeight="1" x14ac:dyDescent="0.2">
      <c r="A95" t="s">
        <v>276</v>
      </c>
      <c r="B95">
        <v>531859</v>
      </c>
      <c r="C95" t="s">
        <v>277</v>
      </c>
      <c r="D95">
        <v>640702669526</v>
      </c>
      <c r="E95" t="s">
        <v>64</v>
      </c>
      <c r="F95" t="s">
        <v>177</v>
      </c>
      <c r="G95" t="s">
        <v>178</v>
      </c>
      <c r="H95" t="s">
        <v>70</v>
      </c>
      <c r="I95" t="s">
        <v>48</v>
      </c>
      <c r="J95">
        <v>190072.68</v>
      </c>
      <c r="K95" t="s">
        <v>39</v>
      </c>
      <c r="L95" s="2">
        <v>45394</v>
      </c>
      <c r="M95" t="s">
        <v>24</v>
      </c>
      <c r="N95">
        <v>899951.25</v>
      </c>
      <c r="O95" t="s">
        <v>25</v>
      </c>
      <c r="P95">
        <f>YEAR('Main DataSet'!$L95)</f>
        <v>2024</v>
      </c>
      <c r="Q95">
        <f>MONTH('Main DataSet'!$L95)</f>
        <v>4</v>
      </c>
      <c r="R95" t="str">
        <f>TEXT('Main DataSet'!$L95,"MM-YYYY")</f>
        <v>04-2024</v>
      </c>
    </row>
    <row r="96" spans="1:18" ht="15.75" customHeight="1" x14ac:dyDescent="0.2">
      <c r="A96" t="s">
        <v>278</v>
      </c>
      <c r="B96">
        <v>405881</v>
      </c>
      <c r="C96" t="s">
        <v>279</v>
      </c>
      <c r="D96">
        <v>976230686799</v>
      </c>
      <c r="E96" t="s">
        <v>64</v>
      </c>
      <c r="F96" t="s">
        <v>65</v>
      </c>
      <c r="G96" t="s">
        <v>66</v>
      </c>
      <c r="H96" t="s">
        <v>31</v>
      </c>
      <c r="I96" t="s">
        <v>38</v>
      </c>
      <c r="J96">
        <v>93038.6</v>
      </c>
      <c r="K96" t="s">
        <v>98</v>
      </c>
      <c r="L96" s="2">
        <v>45321</v>
      </c>
      <c r="M96" t="s">
        <v>24</v>
      </c>
      <c r="N96">
        <v>1330639.23</v>
      </c>
      <c r="O96" t="s">
        <v>25</v>
      </c>
      <c r="P96">
        <f>YEAR('Main DataSet'!$L96)</f>
        <v>2024</v>
      </c>
      <c r="Q96">
        <f>MONTH('Main DataSet'!$L96)</f>
        <v>1</v>
      </c>
      <c r="R96" t="str">
        <f>TEXT('Main DataSet'!$L96,"MM-YYYY")</f>
        <v>01-2024</v>
      </c>
    </row>
    <row r="97" spans="1:18" ht="15.75" customHeight="1" x14ac:dyDescent="0.2">
      <c r="A97" t="s">
        <v>280</v>
      </c>
      <c r="B97">
        <v>286469</v>
      </c>
      <c r="C97" t="s">
        <v>281</v>
      </c>
      <c r="D97">
        <v>605825525973</v>
      </c>
      <c r="E97" t="s">
        <v>28</v>
      </c>
      <c r="F97" t="s">
        <v>216</v>
      </c>
      <c r="G97" t="s">
        <v>217</v>
      </c>
      <c r="H97" t="s">
        <v>31</v>
      </c>
      <c r="I97" t="s">
        <v>38</v>
      </c>
      <c r="J97">
        <v>111276.4</v>
      </c>
      <c r="K97" t="s">
        <v>23</v>
      </c>
      <c r="L97" s="2">
        <v>45299</v>
      </c>
      <c r="M97" t="s">
        <v>24</v>
      </c>
      <c r="N97">
        <v>1518701.76</v>
      </c>
      <c r="O97" t="s">
        <v>25</v>
      </c>
      <c r="P97">
        <f>YEAR('Main DataSet'!$L97)</f>
        <v>2024</v>
      </c>
      <c r="Q97">
        <f>MONTH('Main DataSet'!$L97)</f>
        <v>1</v>
      </c>
      <c r="R97" t="str">
        <f>TEXT('Main DataSet'!$L97,"MM-YYYY")</f>
        <v>01-2024</v>
      </c>
    </row>
    <row r="98" spans="1:18" ht="15.75" customHeight="1" x14ac:dyDescent="0.2">
      <c r="A98" t="s">
        <v>282</v>
      </c>
      <c r="B98">
        <v>182726</v>
      </c>
      <c r="C98" t="s">
        <v>283</v>
      </c>
      <c r="D98">
        <v>915362443565</v>
      </c>
      <c r="E98" t="s">
        <v>35</v>
      </c>
      <c r="F98" t="s">
        <v>36</v>
      </c>
      <c r="G98" t="s">
        <v>37</v>
      </c>
      <c r="H98" t="s">
        <v>67</v>
      </c>
      <c r="I98" t="s">
        <v>48</v>
      </c>
      <c r="J98">
        <v>191244.09</v>
      </c>
      <c r="K98" t="s">
        <v>98</v>
      </c>
      <c r="L98" s="2">
        <v>45248</v>
      </c>
      <c r="M98" t="s">
        <v>24</v>
      </c>
      <c r="N98">
        <v>318250.03999999998</v>
      </c>
      <c r="O98" t="s">
        <v>25</v>
      </c>
      <c r="P98">
        <f>YEAR('Main DataSet'!$L98)</f>
        <v>2023</v>
      </c>
      <c r="Q98">
        <f>MONTH('Main DataSet'!$L98)</f>
        <v>11</v>
      </c>
      <c r="R98" t="str">
        <f>TEXT('Main DataSet'!$L98,"MM-YYYY")</f>
        <v>11-2023</v>
      </c>
    </row>
    <row r="99" spans="1:18" ht="15.75" customHeight="1" x14ac:dyDescent="0.2">
      <c r="A99" t="s">
        <v>284</v>
      </c>
      <c r="B99">
        <v>584031</v>
      </c>
      <c r="C99" t="s">
        <v>285</v>
      </c>
      <c r="D99">
        <v>858729220350</v>
      </c>
      <c r="E99" t="s">
        <v>18</v>
      </c>
      <c r="F99" t="s">
        <v>46</v>
      </c>
      <c r="G99" t="s">
        <v>47</v>
      </c>
      <c r="H99" t="s">
        <v>31</v>
      </c>
      <c r="I99" t="s">
        <v>22</v>
      </c>
      <c r="J99">
        <v>238817.39</v>
      </c>
      <c r="K99" t="s">
        <v>39</v>
      </c>
      <c r="L99" s="2">
        <v>45580</v>
      </c>
      <c r="M99" t="s">
        <v>24</v>
      </c>
      <c r="N99">
        <v>275766.65999999997</v>
      </c>
      <c r="O99" t="s">
        <v>179</v>
      </c>
      <c r="P99">
        <f>YEAR('Main DataSet'!$L99)</f>
        <v>2024</v>
      </c>
      <c r="Q99">
        <f>MONTH('Main DataSet'!$L99)</f>
        <v>10</v>
      </c>
      <c r="R99" t="str">
        <f>TEXT('Main DataSet'!$L99,"MM-YYYY")</f>
        <v>10-2024</v>
      </c>
    </row>
    <row r="100" spans="1:18" ht="15.75" customHeight="1" x14ac:dyDescent="0.2">
      <c r="A100" t="s">
        <v>286</v>
      </c>
      <c r="B100">
        <v>518914</v>
      </c>
      <c r="C100" t="s">
        <v>287</v>
      </c>
      <c r="D100">
        <v>741907644425</v>
      </c>
      <c r="E100" t="s">
        <v>91</v>
      </c>
      <c r="F100" t="s">
        <v>130</v>
      </c>
      <c r="G100" t="s">
        <v>131</v>
      </c>
      <c r="H100" t="s">
        <v>70</v>
      </c>
      <c r="I100" t="s">
        <v>53</v>
      </c>
      <c r="J100">
        <v>212352.26</v>
      </c>
      <c r="K100" t="s">
        <v>49</v>
      </c>
      <c r="L100" s="2">
        <v>45450</v>
      </c>
      <c r="M100" t="s">
        <v>24</v>
      </c>
      <c r="N100">
        <v>1767810</v>
      </c>
      <c r="O100" t="s">
        <v>25</v>
      </c>
      <c r="P100">
        <f>YEAR('Main DataSet'!$L100)</f>
        <v>2024</v>
      </c>
      <c r="Q100">
        <f>MONTH('Main DataSet'!$L100)</f>
        <v>6</v>
      </c>
      <c r="R100" t="str">
        <f>TEXT('Main DataSet'!$L100,"MM-YYYY")</f>
        <v>06-2024</v>
      </c>
    </row>
    <row r="101" spans="1:18" ht="15.75" customHeight="1" x14ac:dyDescent="0.2">
      <c r="A101" t="s">
        <v>288</v>
      </c>
      <c r="B101">
        <v>737238</v>
      </c>
      <c r="C101" t="s">
        <v>289</v>
      </c>
      <c r="D101">
        <v>184804419951</v>
      </c>
      <c r="E101" t="s">
        <v>35</v>
      </c>
      <c r="F101" t="s">
        <v>36</v>
      </c>
      <c r="G101" t="s">
        <v>37</v>
      </c>
      <c r="H101" t="s">
        <v>67</v>
      </c>
      <c r="I101" t="s">
        <v>48</v>
      </c>
      <c r="J101">
        <v>264455.89</v>
      </c>
      <c r="K101" t="s">
        <v>49</v>
      </c>
      <c r="L101" s="2">
        <v>45742</v>
      </c>
      <c r="M101" t="s">
        <v>24</v>
      </c>
      <c r="N101">
        <v>1732815.58</v>
      </c>
      <c r="O101" t="s">
        <v>25</v>
      </c>
      <c r="P101">
        <f>YEAR('Main DataSet'!$L101)</f>
        <v>2025</v>
      </c>
      <c r="Q101">
        <f>MONTH('Main DataSet'!$L101)</f>
        <v>3</v>
      </c>
      <c r="R101" t="str">
        <f>TEXT('Main DataSet'!$L101,"MM-YYYY")</f>
        <v>03-2025</v>
      </c>
    </row>
    <row r="102" spans="1:18" ht="15.75" customHeight="1" x14ac:dyDescent="0.2">
      <c r="A102" t="s">
        <v>290</v>
      </c>
      <c r="B102">
        <v>460707</v>
      </c>
      <c r="C102" t="s">
        <v>291</v>
      </c>
      <c r="D102">
        <v>503436480030</v>
      </c>
      <c r="E102" t="s">
        <v>18</v>
      </c>
      <c r="F102" t="s">
        <v>156</v>
      </c>
      <c r="G102" t="s">
        <v>157</v>
      </c>
      <c r="H102" t="s">
        <v>21</v>
      </c>
      <c r="I102" t="s">
        <v>48</v>
      </c>
      <c r="J102">
        <v>131212.89000000001</v>
      </c>
      <c r="K102" t="s">
        <v>98</v>
      </c>
      <c r="L102" s="2">
        <v>45392</v>
      </c>
      <c r="M102" t="s">
        <v>24</v>
      </c>
      <c r="N102">
        <v>1938830.27</v>
      </c>
      <c r="O102" t="s">
        <v>25</v>
      </c>
      <c r="P102">
        <f>YEAR('Main DataSet'!$L102)</f>
        <v>2024</v>
      </c>
      <c r="Q102">
        <f>MONTH('Main DataSet'!$L102)</f>
        <v>4</v>
      </c>
      <c r="R102" t="str">
        <f>TEXT('Main DataSet'!$L102,"MM-YYYY")</f>
        <v>04-2024</v>
      </c>
    </row>
    <row r="103" spans="1:18" ht="15.75" customHeight="1" x14ac:dyDescent="0.2">
      <c r="A103" t="s">
        <v>292</v>
      </c>
      <c r="B103">
        <v>408467</v>
      </c>
      <c r="C103" t="s">
        <v>293</v>
      </c>
      <c r="D103">
        <v>443440313367</v>
      </c>
      <c r="E103" t="s">
        <v>28</v>
      </c>
      <c r="F103" t="s">
        <v>150</v>
      </c>
      <c r="G103" t="s">
        <v>151</v>
      </c>
      <c r="H103" t="s">
        <v>70</v>
      </c>
      <c r="I103" t="s">
        <v>48</v>
      </c>
      <c r="J103">
        <v>262020.46</v>
      </c>
      <c r="K103" t="s">
        <v>98</v>
      </c>
      <c r="L103" s="2">
        <v>45715</v>
      </c>
      <c r="M103" t="s">
        <v>24</v>
      </c>
      <c r="N103">
        <v>909536.89</v>
      </c>
      <c r="O103" t="s">
        <v>25</v>
      </c>
      <c r="P103">
        <f>YEAR('Main DataSet'!$L103)</f>
        <v>2025</v>
      </c>
      <c r="Q103">
        <f>MONTH('Main DataSet'!$L103)</f>
        <v>2</v>
      </c>
      <c r="R103" t="str">
        <f>TEXT('Main DataSet'!$L103,"MM-YYYY")</f>
        <v>02-2025</v>
      </c>
    </row>
    <row r="104" spans="1:18" ht="15.75" customHeight="1" x14ac:dyDescent="0.2">
      <c r="A104" t="s">
        <v>294</v>
      </c>
      <c r="B104">
        <v>544498</v>
      </c>
      <c r="C104" t="s">
        <v>295</v>
      </c>
      <c r="D104">
        <v>823134970926</v>
      </c>
      <c r="E104" t="s">
        <v>64</v>
      </c>
      <c r="F104" t="s">
        <v>83</v>
      </c>
      <c r="G104" t="s">
        <v>84</v>
      </c>
      <c r="H104" t="s">
        <v>21</v>
      </c>
      <c r="I104" t="s">
        <v>38</v>
      </c>
      <c r="J104">
        <v>124381.09</v>
      </c>
      <c r="K104" t="s">
        <v>98</v>
      </c>
      <c r="L104" s="2">
        <v>45318</v>
      </c>
      <c r="M104" t="s">
        <v>24</v>
      </c>
      <c r="N104">
        <v>908547.25</v>
      </c>
      <c r="O104" t="s">
        <v>25</v>
      </c>
      <c r="P104">
        <f>YEAR('Main DataSet'!$L104)</f>
        <v>2024</v>
      </c>
      <c r="Q104">
        <f>MONTH('Main DataSet'!$L104)</f>
        <v>1</v>
      </c>
      <c r="R104" t="str">
        <f>TEXT('Main DataSet'!$L104,"MM-YYYY")</f>
        <v>01-2024</v>
      </c>
    </row>
    <row r="105" spans="1:18" ht="15.75" customHeight="1" x14ac:dyDescent="0.2">
      <c r="A105" t="s">
        <v>296</v>
      </c>
      <c r="B105">
        <v>621252</v>
      </c>
      <c r="C105" t="s">
        <v>297</v>
      </c>
      <c r="D105">
        <v>319436377684</v>
      </c>
      <c r="E105" t="s">
        <v>35</v>
      </c>
      <c r="F105" t="s">
        <v>42</v>
      </c>
      <c r="G105" t="s">
        <v>43</v>
      </c>
      <c r="H105" t="s">
        <v>70</v>
      </c>
      <c r="I105" t="s">
        <v>48</v>
      </c>
      <c r="J105">
        <v>160823.4</v>
      </c>
      <c r="K105" t="s">
        <v>32</v>
      </c>
      <c r="L105" s="2">
        <v>45818</v>
      </c>
      <c r="M105" t="s">
        <v>24</v>
      </c>
      <c r="N105">
        <v>1663818.17</v>
      </c>
      <c r="O105" t="s">
        <v>25</v>
      </c>
      <c r="P105">
        <f>YEAR('Main DataSet'!$L105)</f>
        <v>2025</v>
      </c>
      <c r="Q105">
        <f>MONTH('Main DataSet'!$L105)</f>
        <v>6</v>
      </c>
      <c r="R105" t="str">
        <f>TEXT('Main DataSet'!$L105,"MM-YYYY")</f>
        <v>06-2025</v>
      </c>
    </row>
    <row r="106" spans="1:18" ht="15.75" customHeight="1" x14ac:dyDescent="0.2">
      <c r="A106" t="s">
        <v>298</v>
      </c>
      <c r="B106">
        <v>726225</v>
      </c>
      <c r="C106" t="s">
        <v>299</v>
      </c>
      <c r="D106">
        <v>262242868098</v>
      </c>
      <c r="E106" t="s">
        <v>91</v>
      </c>
      <c r="F106" t="s">
        <v>109</v>
      </c>
      <c r="G106" t="s">
        <v>110</v>
      </c>
      <c r="H106" t="s">
        <v>70</v>
      </c>
      <c r="I106" t="s">
        <v>22</v>
      </c>
      <c r="J106">
        <v>580253.53</v>
      </c>
      <c r="K106" t="s">
        <v>98</v>
      </c>
      <c r="L106" s="2">
        <v>45301</v>
      </c>
      <c r="M106" t="s">
        <v>24</v>
      </c>
      <c r="N106">
        <v>2200135.6800000002</v>
      </c>
      <c r="O106" t="s">
        <v>25</v>
      </c>
      <c r="P106">
        <f>YEAR('Main DataSet'!$L106)</f>
        <v>2024</v>
      </c>
      <c r="Q106">
        <f>MONTH('Main DataSet'!$L106)</f>
        <v>1</v>
      </c>
      <c r="R106" t="str">
        <f>TEXT('Main DataSet'!$L106,"MM-YYYY")</f>
        <v>01-2024</v>
      </c>
    </row>
    <row r="107" spans="1:18" ht="15.75" customHeight="1" x14ac:dyDescent="0.2">
      <c r="A107" t="s">
        <v>300</v>
      </c>
      <c r="B107">
        <v>434987</v>
      </c>
      <c r="C107" t="s">
        <v>301</v>
      </c>
      <c r="D107">
        <v>513922347721</v>
      </c>
      <c r="E107" t="s">
        <v>18</v>
      </c>
      <c r="F107" t="s">
        <v>19</v>
      </c>
      <c r="G107" t="s">
        <v>20</v>
      </c>
      <c r="H107" t="s">
        <v>70</v>
      </c>
      <c r="I107" t="s">
        <v>22</v>
      </c>
      <c r="J107">
        <v>134600.71</v>
      </c>
      <c r="K107" t="s">
        <v>98</v>
      </c>
      <c r="L107" s="2">
        <v>45836</v>
      </c>
      <c r="M107" t="s">
        <v>24</v>
      </c>
      <c r="N107">
        <v>1982268</v>
      </c>
      <c r="O107" t="s">
        <v>25</v>
      </c>
      <c r="P107">
        <f>YEAR('Main DataSet'!$L107)</f>
        <v>2025</v>
      </c>
      <c r="Q107">
        <f>MONTH('Main DataSet'!$L107)</f>
        <v>6</v>
      </c>
      <c r="R107" t="str">
        <f>TEXT('Main DataSet'!$L107,"MM-YYYY")</f>
        <v>06-2025</v>
      </c>
    </row>
    <row r="108" spans="1:18" ht="15.75" customHeight="1" x14ac:dyDescent="0.2">
      <c r="A108" t="s">
        <v>302</v>
      </c>
      <c r="B108">
        <v>718531</v>
      </c>
      <c r="C108" t="s">
        <v>303</v>
      </c>
      <c r="D108">
        <v>904962141704</v>
      </c>
      <c r="E108" t="s">
        <v>91</v>
      </c>
      <c r="F108" t="s">
        <v>105</v>
      </c>
      <c r="G108" t="s">
        <v>106</v>
      </c>
      <c r="H108" t="s">
        <v>21</v>
      </c>
      <c r="I108" t="s">
        <v>38</v>
      </c>
      <c r="J108">
        <v>127508.79</v>
      </c>
      <c r="K108" t="s">
        <v>32</v>
      </c>
      <c r="L108" s="2">
        <v>45203</v>
      </c>
      <c r="M108" t="s">
        <v>24</v>
      </c>
      <c r="N108">
        <v>531027.1</v>
      </c>
      <c r="O108" t="s">
        <v>25</v>
      </c>
      <c r="P108">
        <f>YEAR('Main DataSet'!$L108)</f>
        <v>2023</v>
      </c>
      <c r="Q108">
        <f>MONTH('Main DataSet'!$L108)</f>
        <v>10</v>
      </c>
      <c r="R108" t="str">
        <f>TEXT('Main DataSet'!$L108,"MM-YYYY")</f>
        <v>10-2023</v>
      </c>
    </row>
    <row r="109" spans="1:18" ht="15.75" customHeight="1" x14ac:dyDescent="0.2">
      <c r="A109" t="s">
        <v>304</v>
      </c>
      <c r="B109">
        <v>692379</v>
      </c>
      <c r="C109" t="s">
        <v>305</v>
      </c>
      <c r="D109">
        <v>488415133220</v>
      </c>
      <c r="E109" t="s">
        <v>91</v>
      </c>
      <c r="F109" t="s">
        <v>162</v>
      </c>
      <c r="G109" t="s">
        <v>163</v>
      </c>
      <c r="H109" t="s">
        <v>21</v>
      </c>
      <c r="I109" t="s">
        <v>53</v>
      </c>
      <c r="J109">
        <v>403120.57</v>
      </c>
      <c r="K109" t="s">
        <v>23</v>
      </c>
      <c r="L109" s="2">
        <v>45432</v>
      </c>
      <c r="M109" t="s">
        <v>24</v>
      </c>
      <c r="N109">
        <v>754321.82000000007</v>
      </c>
      <c r="O109" t="s">
        <v>25</v>
      </c>
      <c r="P109">
        <f>YEAR('Main DataSet'!$L109)</f>
        <v>2024</v>
      </c>
      <c r="Q109">
        <f>MONTH('Main DataSet'!$L109)</f>
        <v>5</v>
      </c>
      <c r="R109" t="str">
        <f>TEXT('Main DataSet'!$L109,"MM-YYYY")</f>
        <v>05-2024</v>
      </c>
    </row>
    <row r="110" spans="1:18" ht="15.75" customHeight="1" x14ac:dyDescent="0.2">
      <c r="A110" t="s">
        <v>306</v>
      </c>
      <c r="B110">
        <v>533757</v>
      </c>
      <c r="C110" t="s">
        <v>307</v>
      </c>
      <c r="D110">
        <v>197930940390</v>
      </c>
      <c r="E110" t="s">
        <v>18</v>
      </c>
      <c r="F110" t="s">
        <v>87</v>
      </c>
      <c r="G110" t="s">
        <v>88</v>
      </c>
      <c r="H110" t="s">
        <v>70</v>
      </c>
      <c r="I110" t="s">
        <v>53</v>
      </c>
      <c r="J110">
        <v>384377.95</v>
      </c>
      <c r="K110" t="s">
        <v>23</v>
      </c>
      <c r="L110" s="2">
        <v>45618</v>
      </c>
      <c r="M110" t="s">
        <v>24</v>
      </c>
      <c r="N110">
        <v>943785.49</v>
      </c>
      <c r="O110" t="s">
        <v>25</v>
      </c>
      <c r="P110">
        <f>YEAR('Main DataSet'!$L110)</f>
        <v>2024</v>
      </c>
      <c r="Q110">
        <f>MONTH('Main DataSet'!$L110)</f>
        <v>11</v>
      </c>
      <c r="R110" t="str">
        <f>TEXT('Main DataSet'!$L110,"MM-YYYY")</f>
        <v>11-2024</v>
      </c>
    </row>
    <row r="111" spans="1:18" ht="15.75" customHeight="1" x14ac:dyDescent="0.2">
      <c r="A111" t="s">
        <v>308</v>
      </c>
      <c r="B111">
        <v>317781</v>
      </c>
      <c r="C111" t="s">
        <v>309</v>
      </c>
      <c r="D111">
        <v>689762479864</v>
      </c>
      <c r="E111" t="s">
        <v>35</v>
      </c>
      <c r="F111" t="s">
        <v>60</v>
      </c>
      <c r="G111" t="s">
        <v>61</v>
      </c>
      <c r="H111" t="s">
        <v>21</v>
      </c>
      <c r="I111" t="s">
        <v>38</v>
      </c>
      <c r="J111">
        <v>12223.36</v>
      </c>
      <c r="K111" t="s">
        <v>49</v>
      </c>
      <c r="L111" s="2">
        <v>45254</v>
      </c>
      <c r="M111" t="s">
        <v>24</v>
      </c>
      <c r="N111">
        <v>211768.29</v>
      </c>
      <c r="O111" t="s">
        <v>25</v>
      </c>
      <c r="P111">
        <f>YEAR('Main DataSet'!$L111)</f>
        <v>2023</v>
      </c>
      <c r="Q111">
        <f>MONTH('Main DataSet'!$L111)</f>
        <v>11</v>
      </c>
      <c r="R111" t="str">
        <f>TEXT('Main DataSet'!$L111,"MM-YYYY")</f>
        <v>11-2023</v>
      </c>
    </row>
    <row r="112" spans="1:18" ht="15.75" customHeight="1" x14ac:dyDescent="0.2">
      <c r="A112" t="s">
        <v>310</v>
      </c>
      <c r="B112">
        <v>409256</v>
      </c>
      <c r="C112" t="s">
        <v>311</v>
      </c>
      <c r="D112">
        <v>616978136350</v>
      </c>
      <c r="E112" t="s">
        <v>28</v>
      </c>
      <c r="F112" t="s">
        <v>192</v>
      </c>
      <c r="G112" t="s">
        <v>193</v>
      </c>
      <c r="H112" t="s">
        <v>67</v>
      </c>
      <c r="I112" t="s">
        <v>53</v>
      </c>
      <c r="J112">
        <v>497985.44</v>
      </c>
      <c r="K112" t="s">
        <v>49</v>
      </c>
      <c r="L112" s="2">
        <v>45505</v>
      </c>
      <c r="M112" t="s">
        <v>113</v>
      </c>
      <c r="N112">
        <v>899053.12</v>
      </c>
      <c r="O112" t="s">
        <v>25</v>
      </c>
      <c r="P112">
        <f>YEAR('Main DataSet'!$L112)</f>
        <v>2024</v>
      </c>
      <c r="Q112">
        <f>MONTH('Main DataSet'!$L112)</f>
        <v>8</v>
      </c>
      <c r="R112" t="str">
        <f>TEXT('Main DataSet'!$L112,"MM-YYYY")</f>
        <v>08-2024</v>
      </c>
    </row>
    <row r="113" spans="1:18" ht="15.75" customHeight="1" x14ac:dyDescent="0.2">
      <c r="A113" t="s">
        <v>312</v>
      </c>
      <c r="B113">
        <v>850255</v>
      </c>
      <c r="C113" t="s">
        <v>313</v>
      </c>
      <c r="D113">
        <v>989289734142</v>
      </c>
      <c r="E113" t="s">
        <v>64</v>
      </c>
      <c r="F113" t="s">
        <v>146</v>
      </c>
      <c r="G113" t="s">
        <v>147</v>
      </c>
      <c r="H113" t="s">
        <v>67</v>
      </c>
      <c r="I113" t="s">
        <v>38</v>
      </c>
      <c r="J113">
        <v>69366.789999999994</v>
      </c>
      <c r="K113" t="s">
        <v>49</v>
      </c>
      <c r="L113" s="2">
        <v>45580</v>
      </c>
      <c r="M113" t="s">
        <v>24</v>
      </c>
      <c r="N113">
        <v>1690157.48</v>
      </c>
      <c r="O113" t="s">
        <v>25</v>
      </c>
      <c r="P113">
        <f>YEAR('Main DataSet'!$L113)</f>
        <v>2024</v>
      </c>
      <c r="Q113">
        <f>MONTH('Main DataSet'!$L113)</f>
        <v>10</v>
      </c>
      <c r="R113" t="str">
        <f>TEXT('Main DataSet'!$L113,"MM-YYYY")</f>
        <v>10-2024</v>
      </c>
    </row>
    <row r="114" spans="1:18" ht="15.75" customHeight="1" x14ac:dyDescent="0.2">
      <c r="A114" t="s">
        <v>314</v>
      </c>
      <c r="B114">
        <v>678961</v>
      </c>
      <c r="C114" t="s">
        <v>315</v>
      </c>
      <c r="D114">
        <v>353294394784</v>
      </c>
      <c r="E114" t="s">
        <v>35</v>
      </c>
      <c r="F114" t="s">
        <v>42</v>
      </c>
      <c r="G114" t="s">
        <v>43</v>
      </c>
      <c r="H114" t="s">
        <v>21</v>
      </c>
      <c r="I114" t="s">
        <v>53</v>
      </c>
      <c r="J114">
        <v>89438.03</v>
      </c>
      <c r="K114" t="s">
        <v>23</v>
      </c>
      <c r="L114" s="2">
        <v>45502</v>
      </c>
      <c r="M114" t="s">
        <v>24</v>
      </c>
      <c r="N114">
        <v>613416.06000000006</v>
      </c>
      <c r="O114" t="s">
        <v>25</v>
      </c>
      <c r="P114">
        <f>YEAR('Main DataSet'!$L114)</f>
        <v>2024</v>
      </c>
      <c r="Q114">
        <f>MONTH('Main DataSet'!$L114)</f>
        <v>7</v>
      </c>
      <c r="R114" t="str">
        <f>TEXT('Main DataSet'!$L114,"MM-YYYY")</f>
        <v>07-2024</v>
      </c>
    </row>
    <row r="115" spans="1:18" ht="15.75" customHeight="1" x14ac:dyDescent="0.2">
      <c r="A115" t="s">
        <v>316</v>
      </c>
      <c r="B115">
        <v>172992</v>
      </c>
      <c r="C115" t="s">
        <v>317</v>
      </c>
      <c r="D115">
        <v>879867008186</v>
      </c>
      <c r="E115" t="s">
        <v>91</v>
      </c>
      <c r="F115" t="s">
        <v>109</v>
      </c>
      <c r="G115" t="s">
        <v>110</v>
      </c>
      <c r="H115" t="s">
        <v>31</v>
      </c>
      <c r="I115" t="s">
        <v>38</v>
      </c>
      <c r="J115">
        <v>39572.94</v>
      </c>
      <c r="K115" t="s">
        <v>49</v>
      </c>
      <c r="L115" s="2">
        <v>45461</v>
      </c>
      <c r="M115" t="s">
        <v>24</v>
      </c>
      <c r="N115">
        <v>1837709.49</v>
      </c>
      <c r="O115" t="s">
        <v>25</v>
      </c>
      <c r="P115">
        <f>YEAR('Main DataSet'!$L115)</f>
        <v>2024</v>
      </c>
      <c r="Q115">
        <f>MONTH('Main DataSet'!$L115)</f>
        <v>6</v>
      </c>
      <c r="R115" t="str">
        <f>TEXT('Main DataSet'!$L115,"MM-YYYY")</f>
        <v>06-2024</v>
      </c>
    </row>
    <row r="116" spans="1:18" ht="15.75" customHeight="1" x14ac:dyDescent="0.2">
      <c r="A116" t="s">
        <v>318</v>
      </c>
      <c r="B116">
        <v>618099</v>
      </c>
      <c r="C116" t="s">
        <v>319</v>
      </c>
      <c r="D116">
        <v>346427521349</v>
      </c>
      <c r="E116" t="s">
        <v>35</v>
      </c>
      <c r="F116" t="s">
        <v>60</v>
      </c>
      <c r="G116" t="s">
        <v>61</v>
      </c>
      <c r="H116" t="s">
        <v>31</v>
      </c>
      <c r="I116" t="s">
        <v>53</v>
      </c>
      <c r="J116">
        <v>175602.6</v>
      </c>
      <c r="K116" t="s">
        <v>49</v>
      </c>
      <c r="L116" s="2">
        <v>45299</v>
      </c>
      <c r="M116" t="s">
        <v>24</v>
      </c>
      <c r="N116">
        <v>1085277.28</v>
      </c>
      <c r="O116" t="s">
        <v>25</v>
      </c>
      <c r="P116">
        <f>YEAR('Main DataSet'!$L116)</f>
        <v>2024</v>
      </c>
      <c r="Q116">
        <f>MONTH('Main DataSet'!$L116)</f>
        <v>1</v>
      </c>
      <c r="R116" t="str">
        <f>TEXT('Main DataSet'!$L116,"MM-YYYY")</f>
        <v>01-2024</v>
      </c>
    </row>
    <row r="117" spans="1:18" ht="15.75" customHeight="1" x14ac:dyDescent="0.2">
      <c r="A117" t="s">
        <v>320</v>
      </c>
      <c r="B117">
        <v>245396</v>
      </c>
      <c r="C117" t="s">
        <v>321</v>
      </c>
      <c r="D117">
        <v>142582750102</v>
      </c>
      <c r="E117" t="s">
        <v>91</v>
      </c>
      <c r="F117" t="s">
        <v>130</v>
      </c>
      <c r="G117" t="s">
        <v>131</v>
      </c>
      <c r="H117" t="s">
        <v>21</v>
      </c>
      <c r="I117" t="s">
        <v>48</v>
      </c>
      <c r="J117">
        <v>287661.89</v>
      </c>
      <c r="K117" t="s">
        <v>39</v>
      </c>
      <c r="L117" s="2">
        <v>45568</v>
      </c>
      <c r="M117" t="s">
        <v>24</v>
      </c>
      <c r="N117">
        <v>509167.84</v>
      </c>
      <c r="O117" t="s">
        <v>25</v>
      </c>
      <c r="P117">
        <f>YEAR('Main DataSet'!$L117)</f>
        <v>2024</v>
      </c>
      <c r="Q117">
        <f>MONTH('Main DataSet'!$L117)</f>
        <v>10</v>
      </c>
      <c r="R117" t="str">
        <f>TEXT('Main DataSet'!$L117,"MM-YYYY")</f>
        <v>10-2024</v>
      </c>
    </row>
    <row r="118" spans="1:18" ht="15.75" customHeight="1" x14ac:dyDescent="0.2">
      <c r="A118" t="s">
        <v>322</v>
      </c>
      <c r="B118">
        <v>396948</v>
      </c>
      <c r="C118" t="s">
        <v>323</v>
      </c>
      <c r="D118">
        <v>847152245069</v>
      </c>
      <c r="E118" t="s">
        <v>28</v>
      </c>
      <c r="F118" t="s">
        <v>150</v>
      </c>
      <c r="G118" t="s">
        <v>151</v>
      </c>
      <c r="H118" t="s">
        <v>31</v>
      </c>
      <c r="I118" t="s">
        <v>22</v>
      </c>
      <c r="J118">
        <v>380035.38</v>
      </c>
      <c r="K118" t="s">
        <v>98</v>
      </c>
      <c r="L118" s="2">
        <v>45762</v>
      </c>
      <c r="M118" t="s">
        <v>24</v>
      </c>
      <c r="N118">
        <v>521060.94</v>
      </c>
      <c r="O118" t="s">
        <v>25</v>
      </c>
      <c r="P118">
        <f>YEAR('Main DataSet'!$L118)</f>
        <v>2025</v>
      </c>
      <c r="Q118">
        <f>MONTH('Main DataSet'!$L118)</f>
        <v>4</v>
      </c>
      <c r="R118" t="str">
        <f>TEXT('Main DataSet'!$L118,"MM-YYYY")</f>
        <v>04-2025</v>
      </c>
    </row>
    <row r="119" spans="1:18" ht="15.75" customHeight="1" x14ac:dyDescent="0.2">
      <c r="A119" t="s">
        <v>324</v>
      </c>
      <c r="B119">
        <v>627945</v>
      </c>
      <c r="C119" t="s">
        <v>325</v>
      </c>
      <c r="D119">
        <v>952800653604</v>
      </c>
      <c r="E119" t="s">
        <v>64</v>
      </c>
      <c r="F119" t="s">
        <v>146</v>
      </c>
      <c r="G119" t="s">
        <v>147</v>
      </c>
      <c r="H119" t="s">
        <v>67</v>
      </c>
      <c r="I119" t="s">
        <v>48</v>
      </c>
      <c r="J119">
        <v>153804.91</v>
      </c>
      <c r="K119" t="s">
        <v>49</v>
      </c>
      <c r="L119" s="2">
        <v>45170</v>
      </c>
      <c r="M119" t="s">
        <v>24</v>
      </c>
      <c r="N119">
        <v>1221345.6499999999</v>
      </c>
      <c r="O119" t="s">
        <v>25</v>
      </c>
      <c r="P119">
        <f>YEAR('Main DataSet'!$L119)</f>
        <v>2023</v>
      </c>
      <c r="Q119">
        <f>MONTH('Main DataSet'!$L119)</f>
        <v>9</v>
      </c>
      <c r="R119" t="str">
        <f>TEXT('Main DataSet'!$L119,"MM-YYYY")</f>
        <v>09-2023</v>
      </c>
    </row>
    <row r="120" spans="1:18" ht="15.75" customHeight="1" x14ac:dyDescent="0.2">
      <c r="A120" t="s">
        <v>326</v>
      </c>
      <c r="B120">
        <v>439411</v>
      </c>
      <c r="C120" t="s">
        <v>327</v>
      </c>
      <c r="D120">
        <v>802999451859</v>
      </c>
      <c r="E120" t="s">
        <v>35</v>
      </c>
      <c r="F120" t="s">
        <v>73</v>
      </c>
      <c r="G120" t="s">
        <v>74</v>
      </c>
      <c r="H120" t="s">
        <v>70</v>
      </c>
      <c r="I120" t="s">
        <v>53</v>
      </c>
      <c r="J120">
        <v>113618.28</v>
      </c>
      <c r="K120" t="s">
        <v>49</v>
      </c>
      <c r="L120" s="2">
        <v>45514</v>
      </c>
      <c r="M120" t="s">
        <v>24</v>
      </c>
      <c r="N120">
        <v>1191424.69</v>
      </c>
      <c r="O120" t="s">
        <v>25</v>
      </c>
      <c r="P120">
        <f>YEAR('Main DataSet'!$L120)</f>
        <v>2024</v>
      </c>
      <c r="Q120">
        <f>MONTH('Main DataSet'!$L120)</f>
        <v>8</v>
      </c>
      <c r="R120" t="str">
        <f>TEXT('Main DataSet'!$L120,"MM-YYYY")</f>
        <v>08-2024</v>
      </c>
    </row>
    <row r="121" spans="1:18" ht="15.75" customHeight="1" x14ac:dyDescent="0.2">
      <c r="A121" t="s">
        <v>328</v>
      </c>
      <c r="B121">
        <v>900676</v>
      </c>
      <c r="C121" t="s">
        <v>329</v>
      </c>
      <c r="D121">
        <v>980417793826</v>
      </c>
      <c r="E121" t="s">
        <v>28</v>
      </c>
      <c r="F121" t="s">
        <v>192</v>
      </c>
      <c r="G121" t="s">
        <v>193</v>
      </c>
      <c r="H121" t="s">
        <v>31</v>
      </c>
      <c r="I121" t="s">
        <v>53</v>
      </c>
      <c r="J121">
        <v>433074.01</v>
      </c>
      <c r="K121" t="s">
        <v>39</v>
      </c>
      <c r="L121" s="2">
        <v>45464</v>
      </c>
      <c r="M121" t="s">
        <v>24</v>
      </c>
      <c r="N121">
        <v>1054990.6399999999</v>
      </c>
      <c r="O121" t="s">
        <v>25</v>
      </c>
      <c r="P121">
        <f>YEAR('Main DataSet'!$L121)</f>
        <v>2024</v>
      </c>
      <c r="Q121">
        <f>MONTH('Main DataSet'!$L121)</f>
        <v>6</v>
      </c>
      <c r="R121" t="str">
        <f>TEXT('Main DataSet'!$L121,"MM-YYYY")</f>
        <v>06-2024</v>
      </c>
    </row>
    <row r="122" spans="1:18" ht="15.75" customHeight="1" x14ac:dyDescent="0.2">
      <c r="A122" t="s">
        <v>330</v>
      </c>
      <c r="B122">
        <v>843102</v>
      </c>
      <c r="C122" t="s">
        <v>331</v>
      </c>
      <c r="D122">
        <v>920697483092</v>
      </c>
      <c r="E122" t="s">
        <v>64</v>
      </c>
      <c r="F122" t="s">
        <v>83</v>
      </c>
      <c r="G122" t="s">
        <v>84</v>
      </c>
      <c r="H122" t="s">
        <v>67</v>
      </c>
      <c r="I122" t="s">
        <v>22</v>
      </c>
      <c r="J122">
        <v>149417.23000000001</v>
      </c>
      <c r="K122" t="s">
        <v>98</v>
      </c>
      <c r="L122" s="2">
        <v>45839</v>
      </c>
      <c r="M122" t="s">
        <v>24</v>
      </c>
      <c r="N122">
        <v>274117.08</v>
      </c>
      <c r="O122" t="s">
        <v>25</v>
      </c>
      <c r="P122">
        <f>YEAR('Main DataSet'!$L122)</f>
        <v>2025</v>
      </c>
      <c r="Q122">
        <f>MONTH('Main DataSet'!$L122)</f>
        <v>7</v>
      </c>
      <c r="R122" t="str">
        <f>TEXT('Main DataSet'!$L122,"MM-YYYY")</f>
        <v>07-2025</v>
      </c>
    </row>
    <row r="123" spans="1:18" ht="15.75" customHeight="1" x14ac:dyDescent="0.2">
      <c r="A123" t="s">
        <v>332</v>
      </c>
      <c r="B123">
        <v>181978</v>
      </c>
      <c r="C123" t="s">
        <v>333</v>
      </c>
      <c r="D123">
        <v>440778300689</v>
      </c>
      <c r="E123" t="s">
        <v>18</v>
      </c>
      <c r="F123" t="s">
        <v>87</v>
      </c>
      <c r="G123" t="s">
        <v>88</v>
      </c>
      <c r="H123" t="s">
        <v>21</v>
      </c>
      <c r="I123" t="s">
        <v>22</v>
      </c>
      <c r="J123">
        <v>390198.76</v>
      </c>
      <c r="K123" t="s">
        <v>32</v>
      </c>
      <c r="L123" s="2">
        <v>45476</v>
      </c>
      <c r="M123" t="s">
        <v>24</v>
      </c>
      <c r="N123">
        <v>2155021.19</v>
      </c>
      <c r="O123" t="s">
        <v>25</v>
      </c>
      <c r="P123">
        <f>YEAR('Main DataSet'!$L123)</f>
        <v>2024</v>
      </c>
      <c r="Q123">
        <f>MONTH('Main DataSet'!$L123)</f>
        <v>7</v>
      </c>
      <c r="R123" t="str">
        <f>TEXT('Main DataSet'!$L123,"MM-YYYY")</f>
        <v>07-2024</v>
      </c>
    </row>
    <row r="124" spans="1:18" ht="15.75" customHeight="1" x14ac:dyDescent="0.2">
      <c r="A124" t="s">
        <v>334</v>
      </c>
      <c r="B124">
        <v>948408</v>
      </c>
      <c r="C124" t="s">
        <v>335</v>
      </c>
      <c r="D124">
        <v>176675428770</v>
      </c>
      <c r="E124" t="s">
        <v>28</v>
      </c>
      <c r="F124" t="s">
        <v>192</v>
      </c>
      <c r="G124" t="s">
        <v>193</v>
      </c>
      <c r="H124" t="s">
        <v>31</v>
      </c>
      <c r="I124" t="s">
        <v>53</v>
      </c>
      <c r="J124">
        <v>244655.55</v>
      </c>
      <c r="K124" t="s">
        <v>49</v>
      </c>
      <c r="L124" s="2">
        <v>45614</v>
      </c>
      <c r="M124" t="s">
        <v>24</v>
      </c>
      <c r="N124">
        <v>1771612.81</v>
      </c>
      <c r="O124" t="s">
        <v>25</v>
      </c>
      <c r="P124">
        <f>YEAR('Main DataSet'!$L124)</f>
        <v>2024</v>
      </c>
      <c r="Q124">
        <f>MONTH('Main DataSet'!$L124)</f>
        <v>11</v>
      </c>
      <c r="R124" t="str">
        <f>TEXT('Main DataSet'!$L124,"MM-YYYY")</f>
        <v>11-2024</v>
      </c>
    </row>
    <row r="125" spans="1:18" ht="15.75" customHeight="1" x14ac:dyDescent="0.2">
      <c r="A125" t="s">
        <v>336</v>
      </c>
      <c r="B125">
        <v>524156</v>
      </c>
      <c r="C125" t="s">
        <v>337</v>
      </c>
      <c r="D125">
        <v>300442436792</v>
      </c>
      <c r="E125" t="s">
        <v>91</v>
      </c>
      <c r="F125" t="s">
        <v>162</v>
      </c>
      <c r="G125" t="s">
        <v>163</v>
      </c>
      <c r="H125" t="s">
        <v>67</v>
      </c>
      <c r="I125" t="s">
        <v>22</v>
      </c>
      <c r="J125">
        <v>87325.57</v>
      </c>
      <c r="K125" t="s">
        <v>32</v>
      </c>
      <c r="L125" s="2">
        <v>45745</v>
      </c>
      <c r="M125" t="s">
        <v>113</v>
      </c>
      <c r="N125">
        <v>807658.13000000012</v>
      </c>
      <c r="O125" t="s">
        <v>25</v>
      </c>
      <c r="P125">
        <f>YEAR('Main DataSet'!$L125)</f>
        <v>2025</v>
      </c>
      <c r="Q125">
        <f>MONTH('Main DataSet'!$L125)</f>
        <v>3</v>
      </c>
      <c r="R125" t="str">
        <f>TEXT('Main DataSet'!$L125,"MM-YYYY")</f>
        <v>03-2025</v>
      </c>
    </row>
    <row r="126" spans="1:18" ht="15.75" customHeight="1" x14ac:dyDescent="0.2">
      <c r="A126" t="s">
        <v>338</v>
      </c>
      <c r="B126">
        <v>223350</v>
      </c>
      <c r="C126" t="s">
        <v>339</v>
      </c>
      <c r="D126">
        <v>650905653791</v>
      </c>
      <c r="E126" t="s">
        <v>28</v>
      </c>
      <c r="F126" t="s">
        <v>150</v>
      </c>
      <c r="G126" t="s">
        <v>151</v>
      </c>
      <c r="H126" t="s">
        <v>67</v>
      </c>
      <c r="I126" t="s">
        <v>53</v>
      </c>
      <c r="J126">
        <v>83160.84</v>
      </c>
      <c r="K126" t="s">
        <v>49</v>
      </c>
      <c r="L126" s="2">
        <v>45408</v>
      </c>
      <c r="M126" t="s">
        <v>24</v>
      </c>
      <c r="N126">
        <v>1048411.65</v>
      </c>
      <c r="O126" t="s">
        <v>25</v>
      </c>
      <c r="P126">
        <f>YEAR('Main DataSet'!$L126)</f>
        <v>2024</v>
      </c>
      <c r="Q126">
        <f>MONTH('Main DataSet'!$L126)</f>
        <v>4</v>
      </c>
      <c r="R126" t="str">
        <f>TEXT('Main DataSet'!$L126,"MM-YYYY")</f>
        <v>04-2024</v>
      </c>
    </row>
    <row r="127" spans="1:18" ht="15.75" customHeight="1" x14ac:dyDescent="0.2">
      <c r="A127" t="s">
        <v>340</v>
      </c>
      <c r="B127">
        <v>860759</v>
      </c>
      <c r="C127" t="s">
        <v>341</v>
      </c>
      <c r="D127">
        <v>274518043942</v>
      </c>
      <c r="E127" t="s">
        <v>91</v>
      </c>
      <c r="F127" t="s">
        <v>130</v>
      </c>
      <c r="G127" t="s">
        <v>131</v>
      </c>
      <c r="H127" t="s">
        <v>67</v>
      </c>
      <c r="I127" t="s">
        <v>48</v>
      </c>
      <c r="J127">
        <v>151300.17000000001</v>
      </c>
      <c r="K127" t="s">
        <v>23</v>
      </c>
      <c r="L127" s="2">
        <v>45591</v>
      </c>
      <c r="M127" t="s">
        <v>24</v>
      </c>
      <c r="N127">
        <v>2103522.29</v>
      </c>
      <c r="O127" t="s">
        <v>25</v>
      </c>
      <c r="P127">
        <f>YEAR('Main DataSet'!$L127)</f>
        <v>2024</v>
      </c>
      <c r="Q127">
        <f>MONTH('Main DataSet'!$L127)</f>
        <v>10</v>
      </c>
      <c r="R127" t="str">
        <f>TEXT('Main DataSet'!$L127,"MM-YYYY")</f>
        <v>10-2024</v>
      </c>
    </row>
    <row r="128" spans="1:18" ht="15.75" customHeight="1" x14ac:dyDescent="0.2">
      <c r="A128" t="s">
        <v>342</v>
      </c>
      <c r="B128">
        <v>275035</v>
      </c>
      <c r="C128" t="s">
        <v>343</v>
      </c>
      <c r="D128">
        <v>880276020182</v>
      </c>
      <c r="E128" t="s">
        <v>18</v>
      </c>
      <c r="F128" t="s">
        <v>19</v>
      </c>
      <c r="G128" t="s">
        <v>20</v>
      </c>
      <c r="H128" t="s">
        <v>21</v>
      </c>
      <c r="I128" t="s">
        <v>53</v>
      </c>
      <c r="J128">
        <v>459795.81</v>
      </c>
      <c r="K128" t="s">
        <v>49</v>
      </c>
      <c r="L128" s="2">
        <v>45724</v>
      </c>
      <c r="M128" t="s">
        <v>24</v>
      </c>
      <c r="N128">
        <v>727378.75</v>
      </c>
      <c r="O128" t="s">
        <v>25</v>
      </c>
      <c r="P128">
        <f>YEAR('Main DataSet'!$L128)</f>
        <v>2025</v>
      </c>
      <c r="Q128">
        <f>MONTH('Main DataSet'!$L128)</f>
        <v>3</v>
      </c>
      <c r="R128" t="str">
        <f>TEXT('Main DataSet'!$L128,"MM-YYYY")</f>
        <v>03-2025</v>
      </c>
    </row>
    <row r="129" spans="1:18" ht="15.75" customHeight="1" x14ac:dyDescent="0.2">
      <c r="A129" t="s">
        <v>344</v>
      </c>
      <c r="B129">
        <v>946700</v>
      </c>
      <c r="C129" t="s">
        <v>345</v>
      </c>
      <c r="D129">
        <v>444007230901</v>
      </c>
      <c r="E129" t="s">
        <v>18</v>
      </c>
      <c r="F129" t="s">
        <v>156</v>
      </c>
      <c r="G129" t="s">
        <v>157</v>
      </c>
      <c r="H129" t="s">
        <v>21</v>
      </c>
      <c r="I129" t="s">
        <v>48</v>
      </c>
      <c r="J129">
        <v>234750.67</v>
      </c>
      <c r="K129" t="s">
        <v>39</v>
      </c>
      <c r="L129" s="2">
        <v>45620</v>
      </c>
      <c r="M129" t="s">
        <v>24</v>
      </c>
      <c r="N129">
        <v>1655537.9</v>
      </c>
      <c r="O129" t="s">
        <v>25</v>
      </c>
      <c r="P129">
        <f>YEAR('Main DataSet'!$L129)</f>
        <v>2024</v>
      </c>
      <c r="Q129">
        <f>MONTH('Main DataSet'!$L129)</f>
        <v>11</v>
      </c>
      <c r="R129" t="str">
        <f>TEXT('Main DataSet'!$L129,"MM-YYYY")</f>
        <v>11-2024</v>
      </c>
    </row>
    <row r="130" spans="1:18" ht="15.75" customHeight="1" x14ac:dyDescent="0.2">
      <c r="A130" t="s">
        <v>346</v>
      </c>
      <c r="B130">
        <v>334468</v>
      </c>
      <c r="C130" t="s">
        <v>347</v>
      </c>
      <c r="D130">
        <v>799839515528</v>
      </c>
      <c r="E130" t="s">
        <v>64</v>
      </c>
      <c r="F130" t="s">
        <v>65</v>
      </c>
      <c r="G130" t="s">
        <v>66</v>
      </c>
      <c r="H130" t="s">
        <v>31</v>
      </c>
      <c r="I130" t="s">
        <v>48</v>
      </c>
      <c r="J130">
        <v>252952.49</v>
      </c>
      <c r="K130" t="s">
        <v>32</v>
      </c>
      <c r="L130" s="2">
        <v>45232</v>
      </c>
      <c r="M130" t="s">
        <v>24</v>
      </c>
      <c r="N130">
        <v>1472571.22</v>
      </c>
      <c r="O130" t="s">
        <v>25</v>
      </c>
      <c r="P130">
        <f>YEAR('Main DataSet'!$L130)</f>
        <v>2023</v>
      </c>
      <c r="Q130">
        <f>MONTH('Main DataSet'!$L130)</f>
        <v>11</v>
      </c>
      <c r="R130" t="str">
        <f>TEXT('Main DataSet'!$L130,"MM-YYYY")</f>
        <v>11-2023</v>
      </c>
    </row>
    <row r="131" spans="1:18" ht="15.75" customHeight="1" x14ac:dyDescent="0.2">
      <c r="A131" t="s">
        <v>348</v>
      </c>
      <c r="B131">
        <v>774637</v>
      </c>
      <c r="C131" t="s">
        <v>349</v>
      </c>
      <c r="D131">
        <v>431080009450</v>
      </c>
      <c r="E131" t="s">
        <v>64</v>
      </c>
      <c r="F131" t="s">
        <v>65</v>
      </c>
      <c r="G131" t="s">
        <v>66</v>
      </c>
      <c r="H131" t="s">
        <v>21</v>
      </c>
      <c r="I131" t="s">
        <v>22</v>
      </c>
      <c r="J131">
        <v>269429.23</v>
      </c>
      <c r="K131" t="s">
        <v>39</v>
      </c>
      <c r="L131" s="2">
        <v>45406</v>
      </c>
      <c r="M131" t="s">
        <v>24</v>
      </c>
      <c r="N131">
        <v>647570.24</v>
      </c>
      <c r="O131" t="s">
        <v>25</v>
      </c>
      <c r="P131">
        <f>YEAR('Main DataSet'!$L131)</f>
        <v>2024</v>
      </c>
      <c r="Q131">
        <f>MONTH('Main DataSet'!$L131)</f>
        <v>4</v>
      </c>
      <c r="R131" t="str">
        <f>TEXT('Main DataSet'!$L131,"MM-YYYY")</f>
        <v>04-2024</v>
      </c>
    </row>
    <row r="132" spans="1:18" ht="15.75" customHeight="1" x14ac:dyDescent="0.2">
      <c r="A132" t="s">
        <v>350</v>
      </c>
      <c r="B132">
        <v>851296</v>
      </c>
      <c r="C132" t="s">
        <v>351</v>
      </c>
      <c r="D132">
        <v>247431431877</v>
      </c>
      <c r="E132" t="s">
        <v>18</v>
      </c>
      <c r="F132" t="s">
        <v>56</v>
      </c>
      <c r="G132" t="s">
        <v>57</v>
      </c>
      <c r="H132" t="s">
        <v>67</v>
      </c>
      <c r="I132" t="s">
        <v>48</v>
      </c>
      <c r="J132">
        <v>193920.04</v>
      </c>
      <c r="K132" t="s">
        <v>32</v>
      </c>
      <c r="L132" s="2">
        <v>45120</v>
      </c>
      <c r="M132" t="s">
        <v>24</v>
      </c>
      <c r="N132">
        <v>1796676.19</v>
      </c>
      <c r="O132" t="s">
        <v>25</v>
      </c>
      <c r="P132">
        <f>YEAR('Main DataSet'!$L132)</f>
        <v>2023</v>
      </c>
      <c r="Q132">
        <f>MONTH('Main DataSet'!$L132)</f>
        <v>7</v>
      </c>
      <c r="R132" t="str">
        <f>TEXT('Main DataSet'!$L132,"MM-YYYY")</f>
        <v>07-2023</v>
      </c>
    </row>
    <row r="133" spans="1:18" ht="15.75" customHeight="1" x14ac:dyDescent="0.2">
      <c r="A133" t="s">
        <v>352</v>
      </c>
      <c r="B133">
        <v>322365</v>
      </c>
      <c r="C133" t="s">
        <v>353</v>
      </c>
      <c r="D133">
        <v>265051585781</v>
      </c>
      <c r="E133" t="s">
        <v>35</v>
      </c>
      <c r="F133" t="s">
        <v>42</v>
      </c>
      <c r="G133" t="s">
        <v>43</v>
      </c>
      <c r="H133" t="s">
        <v>70</v>
      </c>
      <c r="I133" t="s">
        <v>38</v>
      </c>
      <c r="J133">
        <v>56240.77</v>
      </c>
      <c r="K133" t="s">
        <v>49</v>
      </c>
      <c r="L133" s="2">
        <v>45441</v>
      </c>
      <c r="M133" t="s">
        <v>24</v>
      </c>
      <c r="N133">
        <v>1542002.49</v>
      </c>
      <c r="O133" t="s">
        <v>25</v>
      </c>
      <c r="P133">
        <f>YEAR('Main DataSet'!$L133)</f>
        <v>2024</v>
      </c>
      <c r="Q133">
        <f>MONTH('Main DataSet'!$L133)</f>
        <v>5</v>
      </c>
      <c r="R133" t="str">
        <f>TEXT('Main DataSet'!$L133,"MM-YYYY")</f>
        <v>05-2024</v>
      </c>
    </row>
    <row r="134" spans="1:18" ht="15.75" customHeight="1" x14ac:dyDescent="0.2">
      <c r="A134" t="s">
        <v>354</v>
      </c>
      <c r="B134">
        <v>935644</v>
      </c>
      <c r="C134" t="s">
        <v>355</v>
      </c>
      <c r="D134">
        <v>177523340140</v>
      </c>
      <c r="E134" t="s">
        <v>35</v>
      </c>
      <c r="F134" t="s">
        <v>136</v>
      </c>
      <c r="G134" t="s">
        <v>137</v>
      </c>
      <c r="H134" t="s">
        <v>21</v>
      </c>
      <c r="I134" t="s">
        <v>22</v>
      </c>
      <c r="J134">
        <v>596395.99</v>
      </c>
      <c r="K134" t="s">
        <v>32</v>
      </c>
      <c r="L134" s="2">
        <v>45698</v>
      </c>
      <c r="M134" t="s">
        <v>113</v>
      </c>
      <c r="N134">
        <v>1639467.16</v>
      </c>
      <c r="O134" t="s">
        <v>25</v>
      </c>
      <c r="P134">
        <f>YEAR('Main DataSet'!$L134)</f>
        <v>2025</v>
      </c>
      <c r="Q134">
        <f>MONTH('Main DataSet'!$L134)</f>
        <v>2</v>
      </c>
      <c r="R134" t="str">
        <f>TEXT('Main DataSet'!$L134,"MM-YYYY")</f>
        <v>02-2025</v>
      </c>
    </row>
    <row r="135" spans="1:18" ht="15.75" customHeight="1" x14ac:dyDescent="0.2">
      <c r="A135" t="s">
        <v>356</v>
      </c>
      <c r="B135">
        <v>945657</v>
      </c>
      <c r="C135" t="s">
        <v>357</v>
      </c>
      <c r="D135">
        <v>792853366341</v>
      </c>
      <c r="E135" t="s">
        <v>91</v>
      </c>
      <c r="F135" t="s">
        <v>105</v>
      </c>
      <c r="G135" t="s">
        <v>106</v>
      </c>
      <c r="H135" t="s">
        <v>31</v>
      </c>
      <c r="I135" t="s">
        <v>48</v>
      </c>
      <c r="J135">
        <v>55038.21</v>
      </c>
      <c r="K135" t="s">
        <v>49</v>
      </c>
      <c r="L135" s="2">
        <v>45563</v>
      </c>
      <c r="M135" t="s">
        <v>24</v>
      </c>
      <c r="N135">
        <v>1811889.41</v>
      </c>
      <c r="O135" t="s">
        <v>25</v>
      </c>
      <c r="P135">
        <f>YEAR('Main DataSet'!$L135)</f>
        <v>2024</v>
      </c>
      <c r="Q135">
        <f>MONTH('Main DataSet'!$L135)</f>
        <v>9</v>
      </c>
      <c r="R135" t="str">
        <f>TEXT('Main DataSet'!$L135,"MM-YYYY")</f>
        <v>09-2024</v>
      </c>
    </row>
    <row r="136" spans="1:18" ht="15.75" customHeight="1" x14ac:dyDescent="0.2">
      <c r="A136" t="s">
        <v>358</v>
      </c>
      <c r="B136">
        <v>752028</v>
      </c>
      <c r="C136" t="s">
        <v>359</v>
      </c>
      <c r="D136">
        <v>805666817485</v>
      </c>
      <c r="E136" t="s">
        <v>18</v>
      </c>
      <c r="F136" t="s">
        <v>156</v>
      </c>
      <c r="G136" t="s">
        <v>157</v>
      </c>
      <c r="H136" t="s">
        <v>70</v>
      </c>
      <c r="I136" t="s">
        <v>48</v>
      </c>
      <c r="J136">
        <v>115885.54</v>
      </c>
      <c r="K136" t="s">
        <v>23</v>
      </c>
      <c r="L136" s="2">
        <v>45358</v>
      </c>
      <c r="M136" t="s">
        <v>24</v>
      </c>
      <c r="N136">
        <v>1391066.47</v>
      </c>
      <c r="O136" t="s">
        <v>25</v>
      </c>
      <c r="P136">
        <f>YEAR('Main DataSet'!$L136)</f>
        <v>2024</v>
      </c>
      <c r="Q136">
        <f>MONTH('Main DataSet'!$L136)</f>
        <v>3</v>
      </c>
      <c r="R136" t="str">
        <f>TEXT('Main DataSet'!$L136,"MM-YYYY")</f>
        <v>03-2024</v>
      </c>
    </row>
    <row r="137" spans="1:18" ht="15.75" customHeight="1" x14ac:dyDescent="0.2">
      <c r="A137" t="s">
        <v>360</v>
      </c>
      <c r="B137">
        <v>751030</v>
      </c>
      <c r="C137" t="s">
        <v>361</v>
      </c>
      <c r="D137">
        <v>990579280992</v>
      </c>
      <c r="E137" t="s">
        <v>64</v>
      </c>
      <c r="F137" t="s">
        <v>65</v>
      </c>
      <c r="G137" t="s">
        <v>66</v>
      </c>
      <c r="H137" t="s">
        <v>70</v>
      </c>
      <c r="I137" t="s">
        <v>22</v>
      </c>
      <c r="J137">
        <v>526549.79</v>
      </c>
      <c r="K137" t="s">
        <v>98</v>
      </c>
      <c r="L137" s="2">
        <v>45749</v>
      </c>
      <c r="M137" t="s">
        <v>24</v>
      </c>
      <c r="N137">
        <v>1574601.6</v>
      </c>
      <c r="O137" t="s">
        <v>25</v>
      </c>
      <c r="P137">
        <f>YEAR('Main DataSet'!$L137)</f>
        <v>2025</v>
      </c>
      <c r="Q137">
        <f>MONTH('Main DataSet'!$L137)</f>
        <v>4</v>
      </c>
      <c r="R137" t="str">
        <f>TEXT('Main DataSet'!$L137,"MM-YYYY")</f>
        <v>04-2025</v>
      </c>
    </row>
    <row r="138" spans="1:18" ht="15.75" customHeight="1" x14ac:dyDescent="0.2">
      <c r="A138" t="s">
        <v>362</v>
      </c>
      <c r="B138">
        <v>728256</v>
      </c>
      <c r="C138" t="s">
        <v>363</v>
      </c>
      <c r="D138">
        <v>824494447566</v>
      </c>
      <c r="E138" t="s">
        <v>18</v>
      </c>
      <c r="F138" t="s">
        <v>19</v>
      </c>
      <c r="G138" t="s">
        <v>20</v>
      </c>
      <c r="H138" t="s">
        <v>67</v>
      </c>
      <c r="I138" t="s">
        <v>38</v>
      </c>
      <c r="J138">
        <v>44496.26</v>
      </c>
      <c r="K138" t="s">
        <v>39</v>
      </c>
      <c r="L138" s="2">
        <v>45536</v>
      </c>
      <c r="M138" t="s">
        <v>24</v>
      </c>
      <c r="N138">
        <v>1439911.83</v>
      </c>
      <c r="O138" t="s">
        <v>25</v>
      </c>
      <c r="P138">
        <f>YEAR('Main DataSet'!$L138)</f>
        <v>2024</v>
      </c>
      <c r="Q138">
        <f>MONTH('Main DataSet'!$L138)</f>
        <v>9</v>
      </c>
      <c r="R138" t="str">
        <f>TEXT('Main DataSet'!$L138,"MM-YYYY")</f>
        <v>09-2024</v>
      </c>
    </row>
    <row r="139" spans="1:18" ht="15.75" customHeight="1" x14ac:dyDescent="0.2">
      <c r="A139" t="s">
        <v>364</v>
      </c>
      <c r="B139">
        <v>647407</v>
      </c>
      <c r="C139" t="s">
        <v>365</v>
      </c>
      <c r="D139">
        <v>859240583067</v>
      </c>
      <c r="E139" t="s">
        <v>91</v>
      </c>
      <c r="F139" t="s">
        <v>130</v>
      </c>
      <c r="G139" t="s">
        <v>131</v>
      </c>
      <c r="H139" t="s">
        <v>67</v>
      </c>
      <c r="I139" t="s">
        <v>48</v>
      </c>
      <c r="J139">
        <v>163254.69</v>
      </c>
      <c r="K139" t="s">
        <v>49</v>
      </c>
      <c r="L139" s="2">
        <v>45330</v>
      </c>
      <c r="M139" t="s">
        <v>24</v>
      </c>
      <c r="N139">
        <v>1363525.22</v>
      </c>
      <c r="O139" t="s">
        <v>25</v>
      </c>
      <c r="P139">
        <f>YEAR('Main DataSet'!$L139)</f>
        <v>2024</v>
      </c>
      <c r="Q139">
        <f>MONTH('Main DataSet'!$L139)</f>
        <v>2</v>
      </c>
      <c r="R139" t="str">
        <f>TEXT('Main DataSet'!$L139,"MM-YYYY")</f>
        <v>02-2024</v>
      </c>
    </row>
    <row r="140" spans="1:18" ht="15.75" customHeight="1" x14ac:dyDescent="0.2">
      <c r="A140" t="s">
        <v>366</v>
      </c>
      <c r="B140">
        <v>564962</v>
      </c>
      <c r="C140" t="s">
        <v>367</v>
      </c>
      <c r="D140">
        <v>462554663247</v>
      </c>
      <c r="E140" t="s">
        <v>35</v>
      </c>
      <c r="F140" t="s">
        <v>36</v>
      </c>
      <c r="G140" t="s">
        <v>37</v>
      </c>
      <c r="H140" t="s">
        <v>31</v>
      </c>
      <c r="I140" t="s">
        <v>38</v>
      </c>
      <c r="J140">
        <v>87082.25</v>
      </c>
      <c r="K140" t="s">
        <v>39</v>
      </c>
      <c r="L140" s="2">
        <v>45186</v>
      </c>
      <c r="M140" t="s">
        <v>24</v>
      </c>
      <c r="N140">
        <v>1821809.35</v>
      </c>
      <c r="O140" t="s">
        <v>25</v>
      </c>
      <c r="P140">
        <f>YEAR('Main DataSet'!$L140)</f>
        <v>2023</v>
      </c>
      <c r="Q140">
        <f>MONTH('Main DataSet'!$L140)</f>
        <v>9</v>
      </c>
      <c r="R140" t="str">
        <f>TEXT('Main DataSet'!$L140,"MM-YYYY")</f>
        <v>09-2023</v>
      </c>
    </row>
    <row r="141" spans="1:18" ht="15.75" customHeight="1" x14ac:dyDescent="0.2">
      <c r="A141" t="s">
        <v>368</v>
      </c>
      <c r="B141">
        <v>772937</v>
      </c>
      <c r="C141" t="s">
        <v>369</v>
      </c>
      <c r="D141">
        <v>424979154506</v>
      </c>
      <c r="E141" t="s">
        <v>35</v>
      </c>
      <c r="F141" t="s">
        <v>60</v>
      </c>
      <c r="G141" t="s">
        <v>61</v>
      </c>
      <c r="H141" t="s">
        <v>31</v>
      </c>
      <c r="I141" t="s">
        <v>53</v>
      </c>
      <c r="J141">
        <v>16558.98</v>
      </c>
      <c r="K141" t="s">
        <v>32</v>
      </c>
      <c r="L141" s="2">
        <v>45252</v>
      </c>
      <c r="M141" t="s">
        <v>24</v>
      </c>
      <c r="N141">
        <v>1050564.5900000001</v>
      </c>
      <c r="O141" t="s">
        <v>25</v>
      </c>
      <c r="P141">
        <f>YEAR('Main DataSet'!$L141)</f>
        <v>2023</v>
      </c>
      <c r="Q141">
        <f>MONTH('Main DataSet'!$L141)</f>
        <v>11</v>
      </c>
      <c r="R141" t="str">
        <f>TEXT('Main DataSet'!$L141,"MM-YYYY")</f>
        <v>11-2023</v>
      </c>
    </row>
    <row r="142" spans="1:18" ht="15.75" customHeight="1" x14ac:dyDescent="0.2">
      <c r="A142" t="s">
        <v>370</v>
      </c>
      <c r="B142">
        <v>653047</v>
      </c>
      <c r="C142" t="s">
        <v>371</v>
      </c>
      <c r="D142">
        <v>594804478063</v>
      </c>
      <c r="E142" t="s">
        <v>64</v>
      </c>
      <c r="F142" t="s">
        <v>146</v>
      </c>
      <c r="G142" t="s">
        <v>147</v>
      </c>
      <c r="H142" t="s">
        <v>70</v>
      </c>
      <c r="I142" t="s">
        <v>53</v>
      </c>
      <c r="J142">
        <v>118445.89</v>
      </c>
      <c r="K142" t="s">
        <v>23</v>
      </c>
      <c r="L142" s="2">
        <v>45791</v>
      </c>
      <c r="M142" t="s">
        <v>24</v>
      </c>
      <c r="N142">
        <v>1940977.35</v>
      </c>
      <c r="O142" t="s">
        <v>179</v>
      </c>
      <c r="P142">
        <f>YEAR('Main DataSet'!$L142)</f>
        <v>2025</v>
      </c>
      <c r="Q142">
        <f>MONTH('Main DataSet'!$L142)</f>
        <v>5</v>
      </c>
      <c r="R142" t="str">
        <f>TEXT('Main DataSet'!$L142,"MM-YYYY")</f>
        <v>05-2025</v>
      </c>
    </row>
    <row r="143" spans="1:18" ht="15.75" customHeight="1" x14ac:dyDescent="0.2">
      <c r="A143" t="s">
        <v>372</v>
      </c>
      <c r="B143">
        <v>866889</v>
      </c>
      <c r="C143" t="s">
        <v>373</v>
      </c>
      <c r="D143">
        <v>200258397818</v>
      </c>
      <c r="E143" t="s">
        <v>28</v>
      </c>
      <c r="F143" t="s">
        <v>192</v>
      </c>
      <c r="G143" t="s">
        <v>193</v>
      </c>
      <c r="H143" t="s">
        <v>31</v>
      </c>
      <c r="I143" t="s">
        <v>22</v>
      </c>
      <c r="J143">
        <v>538363.37</v>
      </c>
      <c r="K143" t="s">
        <v>32</v>
      </c>
      <c r="L143" s="2">
        <v>45238</v>
      </c>
      <c r="M143" t="s">
        <v>24</v>
      </c>
      <c r="N143">
        <v>1370478.57</v>
      </c>
      <c r="O143" t="s">
        <v>25</v>
      </c>
      <c r="P143">
        <f>YEAR('Main DataSet'!$L143)</f>
        <v>2023</v>
      </c>
      <c r="Q143">
        <f>MONTH('Main DataSet'!$L143)</f>
        <v>11</v>
      </c>
      <c r="R143" t="str">
        <f>TEXT('Main DataSet'!$L143,"MM-YYYY")</f>
        <v>11-2023</v>
      </c>
    </row>
    <row r="144" spans="1:18" ht="15.75" customHeight="1" x14ac:dyDescent="0.2">
      <c r="A144" t="s">
        <v>374</v>
      </c>
      <c r="B144">
        <v>350891</v>
      </c>
      <c r="C144" t="s">
        <v>375</v>
      </c>
      <c r="D144">
        <v>554515895107</v>
      </c>
      <c r="E144" t="s">
        <v>18</v>
      </c>
      <c r="F144" t="s">
        <v>56</v>
      </c>
      <c r="G144" t="s">
        <v>57</v>
      </c>
      <c r="H144" t="s">
        <v>31</v>
      </c>
      <c r="I144" t="s">
        <v>48</v>
      </c>
      <c r="J144">
        <v>115989.38</v>
      </c>
      <c r="K144" t="s">
        <v>23</v>
      </c>
      <c r="L144" s="2">
        <v>45691</v>
      </c>
      <c r="M144" t="s">
        <v>24</v>
      </c>
      <c r="N144">
        <v>998213.89</v>
      </c>
      <c r="O144" t="s">
        <v>25</v>
      </c>
      <c r="P144">
        <f>YEAR('Main DataSet'!$L144)</f>
        <v>2025</v>
      </c>
      <c r="Q144">
        <f>MONTH('Main DataSet'!$L144)</f>
        <v>2</v>
      </c>
      <c r="R144" t="str">
        <f>TEXT('Main DataSet'!$L144,"MM-YYYY")</f>
        <v>02-2025</v>
      </c>
    </row>
    <row r="145" spans="1:18" ht="15.75" customHeight="1" x14ac:dyDescent="0.2">
      <c r="A145" t="s">
        <v>376</v>
      </c>
      <c r="B145">
        <v>882580</v>
      </c>
      <c r="C145" t="s">
        <v>377</v>
      </c>
      <c r="D145">
        <v>551881289169</v>
      </c>
      <c r="E145" t="s">
        <v>91</v>
      </c>
      <c r="F145" t="s">
        <v>130</v>
      </c>
      <c r="G145" t="s">
        <v>131</v>
      </c>
      <c r="H145" t="s">
        <v>67</v>
      </c>
      <c r="I145" t="s">
        <v>38</v>
      </c>
      <c r="J145">
        <v>118044.41</v>
      </c>
      <c r="K145" t="s">
        <v>32</v>
      </c>
      <c r="L145" s="2">
        <v>45727</v>
      </c>
      <c r="M145" t="s">
        <v>24</v>
      </c>
      <c r="N145">
        <v>866095.88</v>
      </c>
      <c r="O145" t="s">
        <v>25</v>
      </c>
      <c r="P145">
        <f>YEAR('Main DataSet'!$L145)</f>
        <v>2025</v>
      </c>
      <c r="Q145">
        <f>MONTH('Main DataSet'!$L145)</f>
        <v>3</v>
      </c>
      <c r="R145" t="str">
        <f>TEXT('Main DataSet'!$L145,"MM-YYYY")</f>
        <v>03-2025</v>
      </c>
    </row>
    <row r="146" spans="1:18" ht="15.75" customHeight="1" x14ac:dyDescent="0.2">
      <c r="A146" t="s">
        <v>378</v>
      </c>
      <c r="B146">
        <v>658908</v>
      </c>
      <c r="C146" t="s">
        <v>379</v>
      </c>
      <c r="D146">
        <v>432189750305</v>
      </c>
      <c r="E146" t="s">
        <v>18</v>
      </c>
      <c r="F146" t="s">
        <v>156</v>
      </c>
      <c r="G146" t="s">
        <v>157</v>
      </c>
      <c r="H146" t="s">
        <v>21</v>
      </c>
      <c r="I146" t="s">
        <v>48</v>
      </c>
      <c r="J146">
        <v>75762.73</v>
      </c>
      <c r="K146" t="s">
        <v>98</v>
      </c>
      <c r="L146" s="2">
        <v>45671</v>
      </c>
      <c r="M146" t="s">
        <v>24</v>
      </c>
      <c r="N146">
        <v>646653.53</v>
      </c>
      <c r="O146" t="s">
        <v>25</v>
      </c>
      <c r="P146">
        <f>YEAR('Main DataSet'!$L146)</f>
        <v>2025</v>
      </c>
      <c r="Q146">
        <f>MONTH('Main DataSet'!$L146)</f>
        <v>1</v>
      </c>
      <c r="R146" t="str">
        <f>TEXT('Main DataSet'!$L146,"MM-YYYY")</f>
        <v>01-2025</v>
      </c>
    </row>
    <row r="147" spans="1:18" ht="15.75" customHeight="1" x14ac:dyDescent="0.2">
      <c r="A147" t="s">
        <v>380</v>
      </c>
      <c r="B147">
        <v>995453</v>
      </c>
      <c r="C147" t="s">
        <v>381</v>
      </c>
      <c r="D147">
        <v>548282814998</v>
      </c>
      <c r="E147" t="s">
        <v>35</v>
      </c>
      <c r="F147" t="s">
        <v>42</v>
      </c>
      <c r="G147" t="s">
        <v>43</v>
      </c>
      <c r="H147" t="s">
        <v>31</v>
      </c>
      <c r="I147" t="s">
        <v>53</v>
      </c>
      <c r="J147">
        <v>469955.81</v>
      </c>
      <c r="K147" t="s">
        <v>23</v>
      </c>
      <c r="L147" s="2">
        <v>45682</v>
      </c>
      <c r="M147" t="s">
        <v>24</v>
      </c>
      <c r="N147">
        <v>2048155.91</v>
      </c>
      <c r="O147" t="s">
        <v>25</v>
      </c>
      <c r="P147">
        <f>YEAR('Main DataSet'!$L147)</f>
        <v>2025</v>
      </c>
      <c r="Q147">
        <f>MONTH('Main DataSet'!$L147)</f>
        <v>1</v>
      </c>
      <c r="R147" t="str">
        <f>TEXT('Main DataSet'!$L147,"MM-YYYY")</f>
        <v>01-2025</v>
      </c>
    </row>
    <row r="148" spans="1:18" ht="15.75" customHeight="1" x14ac:dyDescent="0.2">
      <c r="A148" t="s">
        <v>382</v>
      </c>
      <c r="B148">
        <v>481552</v>
      </c>
      <c r="C148" t="s">
        <v>383</v>
      </c>
      <c r="D148">
        <v>599383994938</v>
      </c>
      <c r="E148" t="s">
        <v>18</v>
      </c>
      <c r="F148" t="s">
        <v>46</v>
      </c>
      <c r="G148" t="s">
        <v>47</v>
      </c>
      <c r="H148" t="s">
        <v>21</v>
      </c>
      <c r="I148" t="s">
        <v>22</v>
      </c>
      <c r="J148">
        <v>147489.57999999999</v>
      </c>
      <c r="K148" t="s">
        <v>39</v>
      </c>
      <c r="L148" s="2">
        <v>45122</v>
      </c>
      <c r="M148" t="s">
        <v>24</v>
      </c>
      <c r="N148">
        <v>1667932.38</v>
      </c>
      <c r="O148" t="s">
        <v>25</v>
      </c>
      <c r="P148">
        <f>YEAR('Main DataSet'!$L148)</f>
        <v>2023</v>
      </c>
      <c r="Q148">
        <f>MONTH('Main DataSet'!$L148)</f>
        <v>7</v>
      </c>
      <c r="R148" t="str">
        <f>TEXT('Main DataSet'!$L148,"MM-YYYY")</f>
        <v>07-2023</v>
      </c>
    </row>
    <row r="149" spans="1:18" ht="15.75" customHeight="1" x14ac:dyDescent="0.2">
      <c r="A149" t="s">
        <v>384</v>
      </c>
      <c r="B149">
        <v>946300</v>
      </c>
      <c r="C149" t="s">
        <v>385</v>
      </c>
      <c r="D149">
        <v>118420256517</v>
      </c>
      <c r="E149" t="s">
        <v>18</v>
      </c>
      <c r="F149" t="s">
        <v>87</v>
      </c>
      <c r="G149" t="s">
        <v>88</v>
      </c>
      <c r="H149" t="s">
        <v>67</v>
      </c>
      <c r="I149" t="s">
        <v>38</v>
      </c>
      <c r="J149">
        <v>133972.62</v>
      </c>
      <c r="K149" t="s">
        <v>98</v>
      </c>
      <c r="L149" s="2">
        <v>45679</v>
      </c>
      <c r="M149" t="s">
        <v>24</v>
      </c>
      <c r="N149">
        <v>412865.25</v>
      </c>
      <c r="O149" t="s">
        <v>25</v>
      </c>
      <c r="P149">
        <f>YEAR('Main DataSet'!$L149)</f>
        <v>2025</v>
      </c>
      <c r="Q149">
        <f>MONTH('Main DataSet'!$L149)</f>
        <v>1</v>
      </c>
      <c r="R149" t="str">
        <f>TEXT('Main DataSet'!$L149,"MM-YYYY")</f>
        <v>01-2025</v>
      </c>
    </row>
    <row r="150" spans="1:18" ht="15.75" customHeight="1" x14ac:dyDescent="0.2">
      <c r="A150" t="s">
        <v>386</v>
      </c>
      <c r="B150">
        <v>358049</v>
      </c>
      <c r="C150" t="s">
        <v>387</v>
      </c>
      <c r="D150">
        <v>499277122705</v>
      </c>
      <c r="E150" t="s">
        <v>35</v>
      </c>
      <c r="F150" t="s">
        <v>36</v>
      </c>
      <c r="G150" t="s">
        <v>37</v>
      </c>
      <c r="H150" t="s">
        <v>31</v>
      </c>
      <c r="I150" t="s">
        <v>53</v>
      </c>
      <c r="J150">
        <v>406154.8</v>
      </c>
      <c r="K150" t="s">
        <v>49</v>
      </c>
      <c r="L150" s="2">
        <v>45466</v>
      </c>
      <c r="M150" t="s">
        <v>24</v>
      </c>
      <c r="N150">
        <v>2345208.34</v>
      </c>
      <c r="O150" t="s">
        <v>25</v>
      </c>
      <c r="P150">
        <f>YEAR('Main DataSet'!$L150)</f>
        <v>2024</v>
      </c>
      <c r="Q150">
        <f>MONTH('Main DataSet'!$L150)</f>
        <v>6</v>
      </c>
      <c r="R150" t="str">
        <f>TEXT('Main DataSet'!$L150,"MM-YYYY")</f>
        <v>06-2024</v>
      </c>
    </row>
    <row r="151" spans="1:18" ht="15.75" customHeight="1" x14ac:dyDescent="0.2">
      <c r="A151" t="s">
        <v>388</v>
      </c>
      <c r="B151">
        <v>579752</v>
      </c>
      <c r="C151" t="s">
        <v>389</v>
      </c>
      <c r="D151">
        <v>185223890909</v>
      </c>
      <c r="E151" t="s">
        <v>35</v>
      </c>
      <c r="F151" t="s">
        <v>73</v>
      </c>
      <c r="G151" t="s">
        <v>74</v>
      </c>
      <c r="H151" t="s">
        <v>70</v>
      </c>
      <c r="I151" t="s">
        <v>53</v>
      </c>
      <c r="J151">
        <v>92892.9</v>
      </c>
      <c r="K151" t="s">
        <v>32</v>
      </c>
      <c r="L151" s="2">
        <v>45153</v>
      </c>
      <c r="M151" t="s">
        <v>24</v>
      </c>
      <c r="N151">
        <v>164830.29999999999</v>
      </c>
      <c r="O151" t="s">
        <v>25</v>
      </c>
      <c r="P151">
        <f>YEAR('Main DataSet'!$L151)</f>
        <v>2023</v>
      </c>
      <c r="Q151">
        <f>MONTH('Main DataSet'!$L151)</f>
        <v>8</v>
      </c>
      <c r="R151" t="str">
        <f>TEXT('Main DataSet'!$L151,"MM-YYYY")</f>
        <v>08-2023</v>
      </c>
    </row>
    <row r="152" spans="1:18" ht="15.75" customHeight="1" x14ac:dyDescent="0.2">
      <c r="A152" t="s">
        <v>390</v>
      </c>
      <c r="B152">
        <v>982731</v>
      </c>
      <c r="C152" t="s">
        <v>391</v>
      </c>
      <c r="D152">
        <v>126451823883</v>
      </c>
      <c r="E152" t="s">
        <v>64</v>
      </c>
      <c r="F152" t="s">
        <v>65</v>
      </c>
      <c r="G152" t="s">
        <v>66</v>
      </c>
      <c r="H152" t="s">
        <v>31</v>
      </c>
      <c r="I152" t="s">
        <v>53</v>
      </c>
      <c r="J152">
        <v>193006.63</v>
      </c>
      <c r="K152" t="s">
        <v>32</v>
      </c>
      <c r="L152" s="2">
        <v>45192</v>
      </c>
      <c r="M152" t="s">
        <v>24</v>
      </c>
      <c r="N152">
        <v>670537.15</v>
      </c>
      <c r="O152" t="s">
        <v>25</v>
      </c>
      <c r="P152">
        <f>YEAR('Main DataSet'!$L152)</f>
        <v>2023</v>
      </c>
      <c r="Q152">
        <f>MONTH('Main DataSet'!$L152)</f>
        <v>9</v>
      </c>
      <c r="R152" t="str">
        <f>TEXT('Main DataSet'!$L152,"MM-YYYY")</f>
        <v>09-2023</v>
      </c>
    </row>
    <row r="153" spans="1:18" ht="15.75" customHeight="1" x14ac:dyDescent="0.2">
      <c r="A153" t="s">
        <v>392</v>
      </c>
      <c r="B153">
        <v>695378</v>
      </c>
      <c r="C153" t="s">
        <v>393</v>
      </c>
      <c r="D153">
        <v>464662276260</v>
      </c>
      <c r="E153" t="s">
        <v>91</v>
      </c>
      <c r="F153" t="s">
        <v>109</v>
      </c>
      <c r="G153" t="s">
        <v>110</v>
      </c>
      <c r="H153" t="s">
        <v>70</v>
      </c>
      <c r="I153" t="s">
        <v>22</v>
      </c>
      <c r="J153">
        <v>160451.89000000001</v>
      </c>
      <c r="K153" t="s">
        <v>32</v>
      </c>
      <c r="L153" s="2">
        <v>45735</v>
      </c>
      <c r="M153" t="s">
        <v>24</v>
      </c>
      <c r="N153">
        <v>310616.62</v>
      </c>
      <c r="O153" t="s">
        <v>25</v>
      </c>
      <c r="P153">
        <f>YEAR('Main DataSet'!$L153)</f>
        <v>2025</v>
      </c>
      <c r="Q153">
        <f>MONTH('Main DataSet'!$L153)</f>
        <v>3</v>
      </c>
      <c r="R153" t="str">
        <f>TEXT('Main DataSet'!$L153,"MM-YYYY")</f>
        <v>03-2025</v>
      </c>
    </row>
    <row r="154" spans="1:18" ht="15.75" customHeight="1" x14ac:dyDescent="0.2">
      <c r="A154" t="s">
        <v>394</v>
      </c>
      <c r="B154">
        <v>749260</v>
      </c>
      <c r="C154" t="s">
        <v>395</v>
      </c>
      <c r="D154">
        <v>924783774270</v>
      </c>
      <c r="E154" t="s">
        <v>64</v>
      </c>
      <c r="F154" t="s">
        <v>166</v>
      </c>
      <c r="G154" t="s">
        <v>167</v>
      </c>
      <c r="H154" t="s">
        <v>70</v>
      </c>
      <c r="I154" t="s">
        <v>48</v>
      </c>
      <c r="J154">
        <v>277196.03000000003</v>
      </c>
      <c r="K154" t="s">
        <v>32</v>
      </c>
      <c r="L154" s="2">
        <v>45430</v>
      </c>
      <c r="M154" t="s">
        <v>168</v>
      </c>
      <c r="N154">
        <v>707859.62000000011</v>
      </c>
      <c r="O154" t="s">
        <v>25</v>
      </c>
      <c r="P154">
        <f>YEAR('Main DataSet'!$L154)</f>
        <v>2024</v>
      </c>
      <c r="Q154">
        <f>MONTH('Main DataSet'!$L154)</f>
        <v>5</v>
      </c>
      <c r="R154" t="str">
        <f>TEXT('Main DataSet'!$L154,"MM-YYYY")</f>
        <v>05-2024</v>
      </c>
    </row>
    <row r="155" spans="1:18" ht="15.75" customHeight="1" x14ac:dyDescent="0.2">
      <c r="A155" t="s">
        <v>396</v>
      </c>
      <c r="B155">
        <v>957981</v>
      </c>
      <c r="C155" t="s">
        <v>397</v>
      </c>
      <c r="D155">
        <v>855946759203</v>
      </c>
      <c r="E155" t="s">
        <v>64</v>
      </c>
      <c r="F155" t="s">
        <v>146</v>
      </c>
      <c r="G155" t="s">
        <v>147</v>
      </c>
      <c r="H155" t="s">
        <v>21</v>
      </c>
      <c r="I155" t="s">
        <v>53</v>
      </c>
      <c r="J155">
        <v>69841.899999999994</v>
      </c>
      <c r="K155" t="s">
        <v>49</v>
      </c>
      <c r="L155" s="2">
        <v>45632</v>
      </c>
      <c r="M155" t="s">
        <v>24</v>
      </c>
      <c r="N155">
        <v>891749.57000000007</v>
      </c>
      <c r="O155" t="s">
        <v>25</v>
      </c>
      <c r="P155">
        <f>YEAR('Main DataSet'!$L155)</f>
        <v>2024</v>
      </c>
      <c r="Q155">
        <f>MONTH('Main DataSet'!$L155)</f>
        <v>12</v>
      </c>
      <c r="R155" t="str">
        <f>TEXT('Main DataSet'!$L155,"MM-YYYY")</f>
        <v>12-2024</v>
      </c>
    </row>
    <row r="156" spans="1:18" ht="15.75" customHeight="1" x14ac:dyDescent="0.2">
      <c r="A156" t="s">
        <v>398</v>
      </c>
      <c r="B156">
        <v>893415</v>
      </c>
      <c r="C156" t="s">
        <v>399</v>
      </c>
      <c r="D156">
        <v>956396989936</v>
      </c>
      <c r="E156" t="s">
        <v>28</v>
      </c>
      <c r="F156" t="s">
        <v>29</v>
      </c>
      <c r="G156" t="s">
        <v>30</v>
      </c>
      <c r="H156" t="s">
        <v>70</v>
      </c>
      <c r="I156" t="s">
        <v>22</v>
      </c>
      <c r="J156">
        <v>267487.64</v>
      </c>
      <c r="K156" t="s">
        <v>32</v>
      </c>
      <c r="L156" s="2">
        <v>45677</v>
      </c>
      <c r="M156" t="s">
        <v>24</v>
      </c>
      <c r="N156">
        <v>2062972.87</v>
      </c>
      <c r="O156" t="s">
        <v>25</v>
      </c>
      <c r="P156">
        <f>YEAR('Main DataSet'!$L156)</f>
        <v>2025</v>
      </c>
      <c r="Q156">
        <f>MONTH('Main DataSet'!$L156)</f>
        <v>1</v>
      </c>
      <c r="R156" t="str">
        <f>TEXT('Main DataSet'!$L156,"MM-YYYY")</f>
        <v>01-2025</v>
      </c>
    </row>
    <row r="157" spans="1:18" ht="15.75" customHeight="1" x14ac:dyDescent="0.2">
      <c r="A157" t="s">
        <v>400</v>
      </c>
      <c r="B157">
        <v>270470</v>
      </c>
      <c r="C157" t="s">
        <v>401</v>
      </c>
      <c r="D157">
        <v>194148450617</v>
      </c>
      <c r="E157" t="s">
        <v>18</v>
      </c>
      <c r="F157" t="s">
        <v>87</v>
      </c>
      <c r="G157" t="s">
        <v>88</v>
      </c>
      <c r="H157" t="s">
        <v>31</v>
      </c>
      <c r="I157" t="s">
        <v>53</v>
      </c>
      <c r="J157">
        <v>70696.570000000007</v>
      </c>
      <c r="K157" t="s">
        <v>32</v>
      </c>
      <c r="L157" s="2">
        <v>45595</v>
      </c>
      <c r="M157" t="s">
        <v>24</v>
      </c>
      <c r="N157">
        <v>102989.25</v>
      </c>
      <c r="O157" t="s">
        <v>25</v>
      </c>
      <c r="P157">
        <f>YEAR('Main DataSet'!$L157)</f>
        <v>2024</v>
      </c>
      <c r="Q157">
        <f>MONTH('Main DataSet'!$L157)</f>
        <v>10</v>
      </c>
      <c r="R157" t="str">
        <f>TEXT('Main DataSet'!$L157,"MM-YYYY")</f>
        <v>10-2024</v>
      </c>
    </row>
    <row r="158" spans="1:18" ht="15.75" customHeight="1" x14ac:dyDescent="0.2">
      <c r="A158" t="s">
        <v>402</v>
      </c>
      <c r="B158">
        <v>775874</v>
      </c>
      <c r="C158" t="s">
        <v>403</v>
      </c>
      <c r="D158">
        <v>113624287115</v>
      </c>
      <c r="E158" t="s">
        <v>28</v>
      </c>
      <c r="F158" t="s">
        <v>150</v>
      </c>
      <c r="G158" t="s">
        <v>151</v>
      </c>
      <c r="H158" t="s">
        <v>21</v>
      </c>
      <c r="I158" t="s">
        <v>38</v>
      </c>
      <c r="J158">
        <v>111768.05</v>
      </c>
      <c r="K158" t="s">
        <v>32</v>
      </c>
      <c r="L158" s="2">
        <v>45761</v>
      </c>
      <c r="M158" t="s">
        <v>24</v>
      </c>
      <c r="N158">
        <v>1778008.15</v>
      </c>
      <c r="O158" t="s">
        <v>25</v>
      </c>
      <c r="P158">
        <f>YEAR('Main DataSet'!$L158)</f>
        <v>2025</v>
      </c>
      <c r="Q158">
        <f>MONTH('Main DataSet'!$L158)</f>
        <v>4</v>
      </c>
      <c r="R158" t="str">
        <f>TEXT('Main DataSet'!$L158,"MM-YYYY")</f>
        <v>04-2025</v>
      </c>
    </row>
    <row r="159" spans="1:18" ht="15.75" customHeight="1" x14ac:dyDescent="0.2">
      <c r="A159" t="s">
        <v>404</v>
      </c>
      <c r="B159">
        <v>264651</v>
      </c>
      <c r="C159" t="s">
        <v>405</v>
      </c>
      <c r="D159">
        <v>687564757084</v>
      </c>
      <c r="E159" t="s">
        <v>64</v>
      </c>
      <c r="F159" t="s">
        <v>65</v>
      </c>
      <c r="G159" t="s">
        <v>66</v>
      </c>
      <c r="H159" t="s">
        <v>67</v>
      </c>
      <c r="I159" t="s">
        <v>48</v>
      </c>
      <c r="J159">
        <v>185535.98</v>
      </c>
      <c r="K159" t="s">
        <v>49</v>
      </c>
      <c r="L159" s="2">
        <v>45734</v>
      </c>
      <c r="M159" t="s">
        <v>24</v>
      </c>
      <c r="N159">
        <v>594950.13</v>
      </c>
      <c r="O159" t="s">
        <v>25</v>
      </c>
      <c r="P159">
        <f>YEAR('Main DataSet'!$L159)</f>
        <v>2025</v>
      </c>
      <c r="Q159">
        <f>MONTH('Main DataSet'!$L159)</f>
        <v>3</v>
      </c>
      <c r="R159" t="str">
        <f>TEXT('Main DataSet'!$L159,"MM-YYYY")</f>
        <v>03-2025</v>
      </c>
    </row>
    <row r="160" spans="1:18" ht="15.75" customHeight="1" x14ac:dyDescent="0.2">
      <c r="A160" t="s">
        <v>406</v>
      </c>
      <c r="B160">
        <v>464154</v>
      </c>
      <c r="C160" t="s">
        <v>407</v>
      </c>
      <c r="D160">
        <v>219059604533</v>
      </c>
      <c r="E160" t="s">
        <v>64</v>
      </c>
      <c r="F160" t="s">
        <v>177</v>
      </c>
      <c r="G160" t="s">
        <v>178</v>
      </c>
      <c r="H160" t="s">
        <v>31</v>
      </c>
      <c r="I160" t="s">
        <v>22</v>
      </c>
      <c r="J160">
        <v>443617.87</v>
      </c>
      <c r="K160" t="s">
        <v>49</v>
      </c>
      <c r="L160" s="2">
        <v>45567</v>
      </c>
      <c r="M160" t="s">
        <v>24</v>
      </c>
      <c r="N160">
        <v>797962.84</v>
      </c>
      <c r="O160" t="s">
        <v>25</v>
      </c>
      <c r="P160">
        <f>YEAR('Main DataSet'!$L160)</f>
        <v>2024</v>
      </c>
      <c r="Q160">
        <f>MONTH('Main DataSet'!$L160)</f>
        <v>10</v>
      </c>
      <c r="R160" t="str">
        <f>TEXT('Main DataSet'!$L160,"MM-YYYY")</f>
        <v>10-2024</v>
      </c>
    </row>
    <row r="161" spans="1:18" ht="15.75" customHeight="1" x14ac:dyDescent="0.2">
      <c r="A161" t="s">
        <v>408</v>
      </c>
      <c r="B161">
        <v>146344</v>
      </c>
      <c r="C161" t="s">
        <v>409</v>
      </c>
      <c r="D161">
        <v>802060333395</v>
      </c>
      <c r="E161" t="s">
        <v>28</v>
      </c>
      <c r="F161" t="s">
        <v>192</v>
      </c>
      <c r="G161" t="s">
        <v>193</v>
      </c>
      <c r="H161" t="s">
        <v>21</v>
      </c>
      <c r="I161" t="s">
        <v>53</v>
      </c>
      <c r="J161">
        <v>21505.02</v>
      </c>
      <c r="K161" t="s">
        <v>98</v>
      </c>
      <c r="L161" s="2">
        <v>45171</v>
      </c>
      <c r="M161" t="s">
        <v>24</v>
      </c>
      <c r="N161">
        <v>1932874.96</v>
      </c>
      <c r="O161" t="s">
        <v>25</v>
      </c>
      <c r="P161">
        <f>YEAR('Main DataSet'!$L161)</f>
        <v>2023</v>
      </c>
      <c r="Q161">
        <f>MONTH('Main DataSet'!$L161)</f>
        <v>9</v>
      </c>
      <c r="R161" t="str">
        <f>TEXT('Main DataSet'!$L161,"MM-YYYY")</f>
        <v>09-2023</v>
      </c>
    </row>
    <row r="162" spans="1:18" ht="15.75" customHeight="1" x14ac:dyDescent="0.2">
      <c r="A162" t="s">
        <v>410</v>
      </c>
      <c r="B162">
        <v>575179</v>
      </c>
      <c r="C162" t="s">
        <v>411</v>
      </c>
      <c r="D162">
        <v>950574724598</v>
      </c>
      <c r="E162" t="s">
        <v>18</v>
      </c>
      <c r="F162" t="s">
        <v>46</v>
      </c>
      <c r="G162" t="s">
        <v>47</v>
      </c>
      <c r="H162" t="s">
        <v>67</v>
      </c>
      <c r="I162" t="s">
        <v>48</v>
      </c>
      <c r="J162">
        <v>41041.120000000003</v>
      </c>
      <c r="K162" t="s">
        <v>23</v>
      </c>
      <c r="L162" s="2">
        <v>45794</v>
      </c>
      <c r="M162" t="s">
        <v>24</v>
      </c>
      <c r="N162">
        <v>137008.63</v>
      </c>
      <c r="O162" t="s">
        <v>25</v>
      </c>
      <c r="P162">
        <f>YEAR('Main DataSet'!$L162)</f>
        <v>2025</v>
      </c>
      <c r="Q162">
        <f>MONTH('Main DataSet'!$L162)</f>
        <v>5</v>
      </c>
      <c r="R162" t="str">
        <f>TEXT('Main DataSet'!$L162,"MM-YYYY")</f>
        <v>05-2025</v>
      </c>
    </row>
    <row r="163" spans="1:18" ht="15.75" customHeight="1" x14ac:dyDescent="0.2">
      <c r="A163" t="s">
        <v>412</v>
      </c>
      <c r="B163">
        <v>721340</v>
      </c>
      <c r="C163" t="s">
        <v>413</v>
      </c>
      <c r="D163">
        <v>555966315099</v>
      </c>
      <c r="E163" t="s">
        <v>18</v>
      </c>
      <c r="F163" t="s">
        <v>56</v>
      </c>
      <c r="G163" t="s">
        <v>57</v>
      </c>
      <c r="H163" t="s">
        <v>31</v>
      </c>
      <c r="I163" t="s">
        <v>38</v>
      </c>
      <c r="J163">
        <v>127514.79</v>
      </c>
      <c r="K163" t="s">
        <v>98</v>
      </c>
      <c r="L163" s="2">
        <v>45275</v>
      </c>
      <c r="M163" t="s">
        <v>113</v>
      </c>
      <c r="N163">
        <v>970456.09999999986</v>
      </c>
      <c r="O163" t="s">
        <v>25</v>
      </c>
      <c r="P163">
        <f>YEAR('Main DataSet'!$L163)</f>
        <v>2023</v>
      </c>
      <c r="Q163">
        <f>MONTH('Main DataSet'!$L163)</f>
        <v>12</v>
      </c>
      <c r="R163" t="str">
        <f>TEXT('Main DataSet'!$L163,"MM-YYYY")</f>
        <v>12-2023</v>
      </c>
    </row>
    <row r="164" spans="1:18" ht="15.75" customHeight="1" x14ac:dyDescent="0.2">
      <c r="A164" t="s">
        <v>414</v>
      </c>
      <c r="B164">
        <v>978283</v>
      </c>
      <c r="C164" t="s">
        <v>415</v>
      </c>
      <c r="D164">
        <v>686925039970</v>
      </c>
      <c r="E164" t="s">
        <v>35</v>
      </c>
      <c r="F164" t="s">
        <v>36</v>
      </c>
      <c r="G164" t="s">
        <v>37</v>
      </c>
      <c r="H164" t="s">
        <v>31</v>
      </c>
      <c r="I164" t="s">
        <v>48</v>
      </c>
      <c r="J164">
        <v>46440.959999999999</v>
      </c>
      <c r="K164" t="s">
        <v>49</v>
      </c>
      <c r="L164" s="2">
        <v>45472</v>
      </c>
      <c r="M164" t="s">
        <v>24</v>
      </c>
      <c r="N164">
        <v>1302694.5</v>
      </c>
      <c r="O164" t="s">
        <v>25</v>
      </c>
      <c r="P164">
        <f>YEAR('Main DataSet'!$L164)</f>
        <v>2024</v>
      </c>
      <c r="Q164">
        <f>MONTH('Main DataSet'!$L164)</f>
        <v>6</v>
      </c>
      <c r="R164" t="str">
        <f>TEXT('Main DataSet'!$L164,"MM-YYYY")</f>
        <v>06-2024</v>
      </c>
    </row>
    <row r="165" spans="1:18" ht="15.75" customHeight="1" x14ac:dyDescent="0.2">
      <c r="A165" t="s">
        <v>416</v>
      </c>
      <c r="B165">
        <v>308373</v>
      </c>
      <c r="C165" t="s">
        <v>417</v>
      </c>
      <c r="D165">
        <v>850820030043</v>
      </c>
      <c r="E165" t="s">
        <v>28</v>
      </c>
      <c r="F165" t="s">
        <v>29</v>
      </c>
      <c r="G165" t="s">
        <v>30</v>
      </c>
      <c r="H165" t="s">
        <v>67</v>
      </c>
      <c r="I165" t="s">
        <v>22</v>
      </c>
      <c r="J165">
        <v>81438.09</v>
      </c>
      <c r="K165" t="s">
        <v>49</v>
      </c>
      <c r="L165" s="2">
        <v>45742</v>
      </c>
      <c r="M165" t="s">
        <v>24</v>
      </c>
      <c r="N165">
        <v>303737.78000000003</v>
      </c>
      <c r="O165" t="s">
        <v>25</v>
      </c>
      <c r="P165">
        <f>YEAR('Main DataSet'!$L165)</f>
        <v>2025</v>
      </c>
      <c r="Q165">
        <f>MONTH('Main DataSet'!$L165)</f>
        <v>3</v>
      </c>
      <c r="R165" t="str">
        <f>TEXT('Main DataSet'!$L165,"MM-YYYY")</f>
        <v>03-2025</v>
      </c>
    </row>
    <row r="166" spans="1:18" ht="15.75" customHeight="1" x14ac:dyDescent="0.2">
      <c r="A166" t="s">
        <v>418</v>
      </c>
      <c r="B166">
        <v>382042</v>
      </c>
      <c r="C166" t="s">
        <v>419</v>
      </c>
      <c r="D166">
        <v>672793088296</v>
      </c>
      <c r="E166" t="s">
        <v>28</v>
      </c>
      <c r="F166" t="s">
        <v>29</v>
      </c>
      <c r="G166" t="s">
        <v>30</v>
      </c>
      <c r="H166" t="s">
        <v>21</v>
      </c>
      <c r="I166" t="s">
        <v>38</v>
      </c>
      <c r="J166">
        <v>24609.7</v>
      </c>
      <c r="K166" t="s">
        <v>39</v>
      </c>
      <c r="L166" s="2">
        <v>45525</v>
      </c>
      <c r="M166" t="s">
        <v>24</v>
      </c>
      <c r="N166">
        <v>464560.08</v>
      </c>
      <c r="O166" t="s">
        <v>25</v>
      </c>
      <c r="P166">
        <f>YEAR('Main DataSet'!$L166)</f>
        <v>2024</v>
      </c>
      <c r="Q166">
        <f>MONTH('Main DataSet'!$L166)</f>
        <v>8</v>
      </c>
      <c r="R166" t="str">
        <f>TEXT('Main DataSet'!$L166,"MM-YYYY")</f>
        <v>08-2024</v>
      </c>
    </row>
    <row r="167" spans="1:18" ht="15.75" customHeight="1" x14ac:dyDescent="0.2">
      <c r="A167" t="s">
        <v>420</v>
      </c>
      <c r="B167">
        <v>841087</v>
      </c>
      <c r="C167" t="s">
        <v>421</v>
      </c>
      <c r="D167">
        <v>340321947570</v>
      </c>
      <c r="E167" t="s">
        <v>64</v>
      </c>
      <c r="F167" t="s">
        <v>146</v>
      </c>
      <c r="G167" t="s">
        <v>147</v>
      </c>
      <c r="H167" t="s">
        <v>67</v>
      </c>
      <c r="I167" t="s">
        <v>38</v>
      </c>
      <c r="J167">
        <v>80691.649999999994</v>
      </c>
      <c r="K167" t="s">
        <v>32</v>
      </c>
      <c r="L167" s="2">
        <v>45621</v>
      </c>
      <c r="M167" t="s">
        <v>24</v>
      </c>
      <c r="N167">
        <v>1504466.62</v>
      </c>
      <c r="O167" t="s">
        <v>25</v>
      </c>
      <c r="P167">
        <f>YEAR('Main DataSet'!$L167)</f>
        <v>2024</v>
      </c>
      <c r="Q167">
        <f>MONTH('Main DataSet'!$L167)</f>
        <v>11</v>
      </c>
      <c r="R167" t="str">
        <f>TEXT('Main DataSet'!$L167,"MM-YYYY")</f>
        <v>11-2024</v>
      </c>
    </row>
    <row r="168" spans="1:18" ht="15.75" customHeight="1" x14ac:dyDescent="0.2">
      <c r="A168" t="s">
        <v>422</v>
      </c>
      <c r="B168">
        <v>453621</v>
      </c>
      <c r="C168" t="s">
        <v>423</v>
      </c>
      <c r="D168">
        <v>572275455942</v>
      </c>
      <c r="E168" t="s">
        <v>18</v>
      </c>
      <c r="F168" t="s">
        <v>46</v>
      </c>
      <c r="G168" t="s">
        <v>47</v>
      </c>
      <c r="H168" t="s">
        <v>70</v>
      </c>
      <c r="I168" t="s">
        <v>38</v>
      </c>
      <c r="J168">
        <v>86333.22</v>
      </c>
      <c r="K168" t="s">
        <v>49</v>
      </c>
      <c r="L168" s="2">
        <v>45833</v>
      </c>
      <c r="M168" t="s">
        <v>24</v>
      </c>
      <c r="N168">
        <v>173826.27</v>
      </c>
      <c r="O168" t="s">
        <v>25</v>
      </c>
      <c r="P168">
        <f>YEAR('Main DataSet'!$L168)</f>
        <v>2025</v>
      </c>
      <c r="Q168">
        <f>MONTH('Main DataSet'!$L168)</f>
        <v>6</v>
      </c>
      <c r="R168" t="str">
        <f>TEXT('Main DataSet'!$L168,"MM-YYYY")</f>
        <v>06-2025</v>
      </c>
    </row>
    <row r="169" spans="1:18" ht="15.75" customHeight="1" x14ac:dyDescent="0.2">
      <c r="A169" t="s">
        <v>424</v>
      </c>
      <c r="B169">
        <v>194555</v>
      </c>
      <c r="C169" t="s">
        <v>425</v>
      </c>
      <c r="D169">
        <v>623222273192</v>
      </c>
      <c r="E169" t="s">
        <v>18</v>
      </c>
      <c r="F169" t="s">
        <v>19</v>
      </c>
      <c r="G169" t="s">
        <v>20</v>
      </c>
      <c r="H169" t="s">
        <v>70</v>
      </c>
      <c r="I169" t="s">
        <v>48</v>
      </c>
      <c r="J169">
        <v>121786.38</v>
      </c>
      <c r="K169" t="s">
        <v>98</v>
      </c>
      <c r="L169" s="2">
        <v>45423</v>
      </c>
      <c r="M169" t="s">
        <v>50</v>
      </c>
      <c r="N169">
        <v>1986716.88</v>
      </c>
      <c r="O169" t="s">
        <v>25</v>
      </c>
      <c r="P169">
        <f>YEAR('Main DataSet'!$L169)</f>
        <v>2024</v>
      </c>
      <c r="Q169">
        <f>MONTH('Main DataSet'!$L169)</f>
        <v>5</v>
      </c>
      <c r="R169" t="str">
        <f>TEXT('Main DataSet'!$L169,"MM-YYYY")</f>
        <v>05-2024</v>
      </c>
    </row>
    <row r="170" spans="1:18" ht="15.75" customHeight="1" x14ac:dyDescent="0.2">
      <c r="A170" t="s">
        <v>426</v>
      </c>
      <c r="B170">
        <v>770075</v>
      </c>
      <c r="C170" t="s">
        <v>427</v>
      </c>
      <c r="D170">
        <v>292949525017</v>
      </c>
      <c r="E170" t="s">
        <v>18</v>
      </c>
      <c r="F170" t="s">
        <v>19</v>
      </c>
      <c r="G170" t="s">
        <v>20</v>
      </c>
      <c r="H170" t="s">
        <v>21</v>
      </c>
      <c r="I170" t="s">
        <v>48</v>
      </c>
      <c r="J170">
        <v>130110.38</v>
      </c>
      <c r="K170" t="s">
        <v>49</v>
      </c>
      <c r="L170" s="2">
        <v>45565</v>
      </c>
      <c r="M170" t="s">
        <v>24</v>
      </c>
      <c r="N170">
        <v>1443432.25</v>
      </c>
      <c r="O170" t="s">
        <v>25</v>
      </c>
      <c r="P170">
        <f>YEAR('Main DataSet'!$L170)</f>
        <v>2024</v>
      </c>
      <c r="Q170">
        <f>MONTH('Main DataSet'!$L170)</f>
        <v>9</v>
      </c>
      <c r="R170" t="str">
        <f>TEXT('Main DataSet'!$L170,"MM-YYYY")</f>
        <v>09-2024</v>
      </c>
    </row>
    <row r="171" spans="1:18" ht="15.75" customHeight="1" x14ac:dyDescent="0.2">
      <c r="A171" t="s">
        <v>428</v>
      </c>
      <c r="B171">
        <v>829378</v>
      </c>
      <c r="C171" t="s">
        <v>429</v>
      </c>
      <c r="D171">
        <v>903370949456</v>
      </c>
      <c r="E171" t="s">
        <v>91</v>
      </c>
      <c r="F171" t="s">
        <v>109</v>
      </c>
      <c r="G171" t="s">
        <v>110</v>
      </c>
      <c r="H171" t="s">
        <v>21</v>
      </c>
      <c r="I171" t="s">
        <v>22</v>
      </c>
      <c r="J171">
        <v>585632.02</v>
      </c>
      <c r="K171" t="s">
        <v>49</v>
      </c>
      <c r="L171" s="2">
        <v>45303</v>
      </c>
      <c r="M171" t="s">
        <v>24</v>
      </c>
      <c r="N171">
        <v>1709477.05</v>
      </c>
      <c r="O171" t="s">
        <v>25</v>
      </c>
      <c r="P171">
        <f>YEAR('Main DataSet'!$L171)</f>
        <v>2024</v>
      </c>
      <c r="Q171">
        <f>MONTH('Main DataSet'!$L171)</f>
        <v>1</v>
      </c>
      <c r="R171" t="str">
        <f>TEXT('Main DataSet'!$L171,"MM-YYYY")</f>
        <v>01-2024</v>
      </c>
    </row>
    <row r="172" spans="1:18" ht="15.75" customHeight="1" x14ac:dyDescent="0.2">
      <c r="A172" t="s">
        <v>430</v>
      </c>
      <c r="B172">
        <v>987879</v>
      </c>
      <c r="C172" t="s">
        <v>431</v>
      </c>
      <c r="D172">
        <v>260587250312</v>
      </c>
      <c r="E172" t="s">
        <v>35</v>
      </c>
      <c r="F172" t="s">
        <v>36</v>
      </c>
      <c r="G172" t="s">
        <v>37</v>
      </c>
      <c r="H172" t="s">
        <v>70</v>
      </c>
      <c r="I172" t="s">
        <v>38</v>
      </c>
      <c r="J172">
        <v>13739.75</v>
      </c>
      <c r="K172" t="s">
        <v>39</v>
      </c>
      <c r="L172" s="2">
        <v>45818</v>
      </c>
      <c r="M172" t="s">
        <v>24</v>
      </c>
      <c r="N172">
        <v>1443259.36</v>
      </c>
      <c r="O172" t="s">
        <v>25</v>
      </c>
      <c r="P172">
        <f>YEAR('Main DataSet'!$L172)</f>
        <v>2025</v>
      </c>
      <c r="Q172">
        <f>MONTH('Main DataSet'!$L172)</f>
        <v>6</v>
      </c>
      <c r="R172" t="str">
        <f>TEXT('Main DataSet'!$L172,"MM-YYYY")</f>
        <v>06-2025</v>
      </c>
    </row>
    <row r="173" spans="1:18" ht="15.75" customHeight="1" x14ac:dyDescent="0.2">
      <c r="A173" t="s">
        <v>432</v>
      </c>
      <c r="B173">
        <v>232569</v>
      </c>
      <c r="C173" t="s">
        <v>433</v>
      </c>
      <c r="D173">
        <v>977364169001</v>
      </c>
      <c r="E173" t="s">
        <v>18</v>
      </c>
      <c r="F173" t="s">
        <v>19</v>
      </c>
      <c r="G173" t="s">
        <v>20</v>
      </c>
      <c r="H173" t="s">
        <v>21</v>
      </c>
      <c r="I173" t="s">
        <v>53</v>
      </c>
      <c r="J173">
        <v>217678.95</v>
      </c>
      <c r="K173" t="s">
        <v>49</v>
      </c>
      <c r="L173" s="2">
        <v>45278</v>
      </c>
      <c r="M173" t="s">
        <v>24</v>
      </c>
      <c r="N173">
        <v>1325870.71</v>
      </c>
      <c r="O173" t="s">
        <v>25</v>
      </c>
      <c r="P173">
        <f>YEAR('Main DataSet'!$L173)</f>
        <v>2023</v>
      </c>
      <c r="Q173">
        <f>MONTH('Main DataSet'!$L173)</f>
        <v>12</v>
      </c>
      <c r="R173" t="str">
        <f>TEXT('Main DataSet'!$L173,"MM-YYYY")</f>
        <v>12-2023</v>
      </c>
    </row>
    <row r="174" spans="1:18" ht="15.75" customHeight="1" x14ac:dyDescent="0.2">
      <c r="A174" t="s">
        <v>434</v>
      </c>
      <c r="B174">
        <v>287130</v>
      </c>
      <c r="C174" t="s">
        <v>435</v>
      </c>
      <c r="D174">
        <v>390913928721</v>
      </c>
      <c r="E174" t="s">
        <v>18</v>
      </c>
      <c r="F174" t="s">
        <v>87</v>
      </c>
      <c r="G174" t="s">
        <v>88</v>
      </c>
      <c r="H174" t="s">
        <v>31</v>
      </c>
      <c r="I174" t="s">
        <v>48</v>
      </c>
      <c r="J174">
        <v>241267.85</v>
      </c>
      <c r="K174" t="s">
        <v>39</v>
      </c>
      <c r="L174" s="2">
        <v>45302</v>
      </c>
      <c r="M174" t="s">
        <v>24</v>
      </c>
      <c r="N174">
        <v>614510.72</v>
      </c>
      <c r="O174" t="s">
        <v>25</v>
      </c>
      <c r="P174">
        <f>YEAR('Main DataSet'!$L174)</f>
        <v>2024</v>
      </c>
      <c r="Q174">
        <f>MONTH('Main DataSet'!$L174)</f>
        <v>1</v>
      </c>
      <c r="R174" t="str">
        <f>TEXT('Main DataSet'!$L174,"MM-YYYY")</f>
        <v>01-2024</v>
      </c>
    </row>
    <row r="175" spans="1:18" ht="15.75" customHeight="1" x14ac:dyDescent="0.2">
      <c r="A175" t="s">
        <v>436</v>
      </c>
      <c r="B175">
        <v>273869</v>
      </c>
      <c r="C175" t="s">
        <v>437</v>
      </c>
      <c r="D175">
        <v>722703997525</v>
      </c>
      <c r="E175" t="s">
        <v>91</v>
      </c>
      <c r="F175" t="s">
        <v>92</v>
      </c>
      <c r="G175" t="s">
        <v>93</v>
      </c>
      <c r="H175" t="s">
        <v>67</v>
      </c>
      <c r="I175" t="s">
        <v>48</v>
      </c>
      <c r="J175">
        <v>282229.52</v>
      </c>
      <c r="K175" t="s">
        <v>49</v>
      </c>
      <c r="L175" s="2">
        <v>45634</v>
      </c>
      <c r="M175" t="s">
        <v>24</v>
      </c>
      <c r="N175">
        <v>2278673.0299999998</v>
      </c>
      <c r="O175" t="s">
        <v>25</v>
      </c>
      <c r="P175">
        <f>YEAR('Main DataSet'!$L175)</f>
        <v>2024</v>
      </c>
      <c r="Q175">
        <f>MONTH('Main DataSet'!$L175)</f>
        <v>12</v>
      </c>
      <c r="R175" t="str">
        <f>TEXT('Main DataSet'!$L175,"MM-YYYY")</f>
        <v>12-2024</v>
      </c>
    </row>
    <row r="176" spans="1:18" ht="15.75" customHeight="1" x14ac:dyDescent="0.2">
      <c r="A176" t="s">
        <v>438</v>
      </c>
      <c r="B176">
        <v>533366</v>
      </c>
      <c r="C176" t="s">
        <v>439</v>
      </c>
      <c r="D176">
        <v>792282281783</v>
      </c>
      <c r="E176" t="s">
        <v>91</v>
      </c>
      <c r="F176" t="s">
        <v>92</v>
      </c>
      <c r="G176" t="s">
        <v>93</v>
      </c>
      <c r="H176" t="s">
        <v>67</v>
      </c>
      <c r="I176" t="s">
        <v>53</v>
      </c>
      <c r="J176">
        <v>45405.21</v>
      </c>
      <c r="K176" t="s">
        <v>39</v>
      </c>
      <c r="L176" s="2">
        <v>45811</v>
      </c>
      <c r="M176" t="s">
        <v>24</v>
      </c>
      <c r="N176">
        <v>580928.07999999996</v>
      </c>
      <c r="O176" t="s">
        <v>25</v>
      </c>
      <c r="P176">
        <f>YEAR('Main DataSet'!$L176)</f>
        <v>2025</v>
      </c>
      <c r="Q176">
        <f>MONTH('Main DataSet'!$L176)</f>
        <v>6</v>
      </c>
      <c r="R176" t="str">
        <f>TEXT('Main DataSet'!$L176,"MM-YYYY")</f>
        <v>06-2025</v>
      </c>
    </row>
    <row r="177" spans="1:18" ht="15.75" customHeight="1" x14ac:dyDescent="0.2">
      <c r="A177" t="s">
        <v>440</v>
      </c>
      <c r="B177">
        <v>392320</v>
      </c>
      <c r="C177" t="s">
        <v>441</v>
      </c>
      <c r="D177">
        <v>738265413805</v>
      </c>
      <c r="E177" t="s">
        <v>64</v>
      </c>
      <c r="F177" t="s">
        <v>83</v>
      </c>
      <c r="G177" t="s">
        <v>84</v>
      </c>
      <c r="H177" t="s">
        <v>31</v>
      </c>
      <c r="I177" t="s">
        <v>22</v>
      </c>
      <c r="J177">
        <v>212526.68</v>
      </c>
      <c r="K177" t="s">
        <v>23</v>
      </c>
      <c r="L177" s="2">
        <v>45682</v>
      </c>
      <c r="M177" t="s">
        <v>24</v>
      </c>
      <c r="N177">
        <v>602494.71</v>
      </c>
      <c r="O177" t="s">
        <v>25</v>
      </c>
      <c r="P177">
        <f>YEAR('Main DataSet'!$L177)</f>
        <v>2025</v>
      </c>
      <c r="Q177">
        <f>MONTH('Main DataSet'!$L177)</f>
        <v>1</v>
      </c>
      <c r="R177" t="str">
        <f>TEXT('Main DataSet'!$L177,"MM-YYYY")</f>
        <v>01-2025</v>
      </c>
    </row>
    <row r="178" spans="1:18" ht="15.75" customHeight="1" x14ac:dyDescent="0.2">
      <c r="A178" t="s">
        <v>442</v>
      </c>
      <c r="B178">
        <v>489951</v>
      </c>
      <c r="C178" t="s">
        <v>443</v>
      </c>
      <c r="D178">
        <v>660462416947</v>
      </c>
      <c r="E178" t="s">
        <v>35</v>
      </c>
      <c r="F178" t="s">
        <v>136</v>
      </c>
      <c r="G178" t="s">
        <v>137</v>
      </c>
      <c r="H178" t="s">
        <v>67</v>
      </c>
      <c r="I178" t="s">
        <v>53</v>
      </c>
      <c r="J178">
        <v>338467.95</v>
      </c>
      <c r="K178" t="s">
        <v>98</v>
      </c>
      <c r="L178" s="2">
        <v>45665</v>
      </c>
      <c r="M178" t="s">
        <v>24</v>
      </c>
      <c r="N178">
        <v>847748.51</v>
      </c>
      <c r="O178" t="s">
        <v>25</v>
      </c>
      <c r="P178">
        <f>YEAR('Main DataSet'!$L178)</f>
        <v>2025</v>
      </c>
      <c r="Q178">
        <f>MONTH('Main DataSet'!$L178)</f>
        <v>1</v>
      </c>
      <c r="R178" t="str">
        <f>TEXT('Main DataSet'!$L178,"MM-YYYY")</f>
        <v>01-2025</v>
      </c>
    </row>
    <row r="179" spans="1:18" ht="15.75" customHeight="1" x14ac:dyDescent="0.2">
      <c r="A179" t="s">
        <v>444</v>
      </c>
      <c r="B179">
        <v>182090</v>
      </c>
      <c r="C179" t="s">
        <v>445</v>
      </c>
      <c r="D179">
        <v>773349801258</v>
      </c>
      <c r="E179" t="s">
        <v>91</v>
      </c>
      <c r="F179" t="s">
        <v>105</v>
      </c>
      <c r="G179" t="s">
        <v>106</v>
      </c>
      <c r="H179" t="s">
        <v>67</v>
      </c>
      <c r="I179" t="s">
        <v>53</v>
      </c>
      <c r="J179">
        <v>144290.97</v>
      </c>
      <c r="K179" t="s">
        <v>39</v>
      </c>
      <c r="L179" s="2">
        <v>45344</v>
      </c>
      <c r="M179" t="s">
        <v>24</v>
      </c>
      <c r="N179">
        <v>1516905.19</v>
      </c>
      <c r="O179" t="s">
        <v>25</v>
      </c>
      <c r="P179">
        <f>YEAR('Main DataSet'!$L179)</f>
        <v>2024</v>
      </c>
      <c r="Q179">
        <f>MONTH('Main DataSet'!$L179)</f>
        <v>2</v>
      </c>
      <c r="R179" t="str">
        <f>TEXT('Main DataSet'!$L179,"MM-YYYY")</f>
        <v>02-2024</v>
      </c>
    </row>
    <row r="180" spans="1:18" ht="15.75" customHeight="1" x14ac:dyDescent="0.2">
      <c r="A180" t="s">
        <v>446</v>
      </c>
      <c r="B180">
        <v>861891</v>
      </c>
      <c r="C180" t="s">
        <v>447</v>
      </c>
      <c r="D180">
        <v>758276699400</v>
      </c>
      <c r="E180" t="s">
        <v>64</v>
      </c>
      <c r="F180" t="s">
        <v>83</v>
      </c>
      <c r="G180" t="s">
        <v>84</v>
      </c>
      <c r="H180" t="s">
        <v>67</v>
      </c>
      <c r="I180" t="s">
        <v>53</v>
      </c>
      <c r="J180">
        <v>34188.99</v>
      </c>
      <c r="K180" t="s">
        <v>98</v>
      </c>
      <c r="L180" s="2">
        <v>45333</v>
      </c>
      <c r="M180" t="s">
        <v>24</v>
      </c>
      <c r="N180">
        <v>320795.43</v>
      </c>
      <c r="O180" t="s">
        <v>25</v>
      </c>
      <c r="P180">
        <f>YEAR('Main DataSet'!$L180)</f>
        <v>2024</v>
      </c>
      <c r="Q180">
        <f>MONTH('Main DataSet'!$L180)</f>
        <v>2</v>
      </c>
      <c r="R180" t="str">
        <f>TEXT('Main DataSet'!$L180,"MM-YYYY")</f>
        <v>02-2024</v>
      </c>
    </row>
    <row r="181" spans="1:18" ht="15.75" customHeight="1" x14ac:dyDescent="0.2">
      <c r="A181" t="s">
        <v>448</v>
      </c>
      <c r="B181">
        <v>915152</v>
      </c>
      <c r="C181" t="s">
        <v>449</v>
      </c>
      <c r="D181">
        <v>885153418135</v>
      </c>
      <c r="E181" t="s">
        <v>64</v>
      </c>
      <c r="F181" t="s">
        <v>166</v>
      </c>
      <c r="G181" t="s">
        <v>167</v>
      </c>
      <c r="H181" t="s">
        <v>70</v>
      </c>
      <c r="I181" t="s">
        <v>38</v>
      </c>
      <c r="J181">
        <v>82302.03</v>
      </c>
      <c r="K181" t="s">
        <v>32</v>
      </c>
      <c r="L181" s="2">
        <v>45573</v>
      </c>
      <c r="M181" t="s">
        <v>24</v>
      </c>
      <c r="N181">
        <v>1644815.09</v>
      </c>
      <c r="O181" t="s">
        <v>25</v>
      </c>
      <c r="P181">
        <f>YEAR('Main DataSet'!$L181)</f>
        <v>2024</v>
      </c>
      <c r="Q181">
        <f>MONTH('Main DataSet'!$L181)</f>
        <v>10</v>
      </c>
      <c r="R181" t="str">
        <f>TEXT('Main DataSet'!$L181,"MM-YYYY")</f>
        <v>10-2024</v>
      </c>
    </row>
    <row r="182" spans="1:18" ht="15.75" customHeight="1" x14ac:dyDescent="0.2">
      <c r="A182" t="s">
        <v>450</v>
      </c>
      <c r="B182">
        <v>955248</v>
      </c>
      <c r="C182" t="s">
        <v>451</v>
      </c>
      <c r="D182">
        <v>536354802733</v>
      </c>
      <c r="E182" t="s">
        <v>35</v>
      </c>
      <c r="F182" t="s">
        <v>60</v>
      </c>
      <c r="G182" t="s">
        <v>61</v>
      </c>
      <c r="H182" t="s">
        <v>70</v>
      </c>
      <c r="I182" t="s">
        <v>53</v>
      </c>
      <c r="J182">
        <v>333457.7</v>
      </c>
      <c r="K182" t="s">
        <v>32</v>
      </c>
      <c r="L182" s="2">
        <v>45666</v>
      </c>
      <c r="M182" t="s">
        <v>168</v>
      </c>
      <c r="N182">
        <v>1971539.37</v>
      </c>
      <c r="O182" t="s">
        <v>25</v>
      </c>
      <c r="P182">
        <f>YEAR('Main DataSet'!$L182)</f>
        <v>2025</v>
      </c>
      <c r="Q182">
        <f>MONTH('Main DataSet'!$L182)</f>
        <v>1</v>
      </c>
      <c r="R182" t="str">
        <f>TEXT('Main DataSet'!$L182,"MM-YYYY")</f>
        <v>01-2025</v>
      </c>
    </row>
    <row r="183" spans="1:18" ht="15.75" customHeight="1" x14ac:dyDescent="0.2">
      <c r="A183" t="s">
        <v>452</v>
      </c>
      <c r="B183">
        <v>102739</v>
      </c>
      <c r="C183" t="s">
        <v>453</v>
      </c>
      <c r="D183">
        <v>774104911098</v>
      </c>
      <c r="E183" t="s">
        <v>18</v>
      </c>
      <c r="F183" t="s">
        <v>156</v>
      </c>
      <c r="G183" t="s">
        <v>157</v>
      </c>
      <c r="H183" t="s">
        <v>70</v>
      </c>
      <c r="I183" t="s">
        <v>38</v>
      </c>
      <c r="J183">
        <v>129936.35</v>
      </c>
      <c r="K183" t="s">
        <v>98</v>
      </c>
      <c r="L183" s="2">
        <v>45166</v>
      </c>
      <c r="M183" t="s">
        <v>24</v>
      </c>
      <c r="N183">
        <v>110612.71</v>
      </c>
      <c r="O183" t="s">
        <v>25</v>
      </c>
      <c r="P183">
        <f>YEAR('Main DataSet'!$L183)</f>
        <v>2023</v>
      </c>
      <c r="Q183">
        <f>MONTH('Main DataSet'!$L183)</f>
        <v>8</v>
      </c>
      <c r="R183" t="str">
        <f>TEXT('Main DataSet'!$L183,"MM-YYYY")</f>
        <v>08-2023</v>
      </c>
    </row>
    <row r="184" spans="1:18" ht="15.75" customHeight="1" x14ac:dyDescent="0.2">
      <c r="A184" t="s">
        <v>454</v>
      </c>
      <c r="B184">
        <v>870440</v>
      </c>
      <c r="C184" t="s">
        <v>455</v>
      </c>
      <c r="D184">
        <v>599441016363</v>
      </c>
      <c r="E184" t="s">
        <v>28</v>
      </c>
      <c r="F184" t="s">
        <v>150</v>
      </c>
      <c r="G184" t="s">
        <v>151</v>
      </c>
      <c r="H184" t="s">
        <v>70</v>
      </c>
      <c r="I184" t="s">
        <v>53</v>
      </c>
      <c r="J184">
        <v>343331.26</v>
      </c>
      <c r="K184" t="s">
        <v>32</v>
      </c>
      <c r="L184" s="2">
        <v>45834</v>
      </c>
      <c r="M184" t="s">
        <v>24</v>
      </c>
      <c r="N184">
        <v>1665408.93</v>
      </c>
      <c r="O184" t="s">
        <v>25</v>
      </c>
      <c r="P184">
        <f>YEAR('Main DataSet'!$L184)</f>
        <v>2025</v>
      </c>
      <c r="Q184">
        <f>MONTH('Main DataSet'!$L184)</f>
        <v>6</v>
      </c>
      <c r="R184" t="str">
        <f>TEXT('Main DataSet'!$L184,"MM-YYYY")</f>
        <v>06-2025</v>
      </c>
    </row>
    <row r="185" spans="1:18" ht="15.75" customHeight="1" x14ac:dyDescent="0.2">
      <c r="A185" t="s">
        <v>456</v>
      </c>
      <c r="B185">
        <v>568609</v>
      </c>
      <c r="C185" t="s">
        <v>457</v>
      </c>
      <c r="D185">
        <v>575512465389</v>
      </c>
      <c r="E185" t="s">
        <v>35</v>
      </c>
      <c r="F185" t="s">
        <v>60</v>
      </c>
      <c r="G185" t="s">
        <v>61</v>
      </c>
      <c r="H185" t="s">
        <v>21</v>
      </c>
      <c r="I185" t="s">
        <v>38</v>
      </c>
      <c r="J185">
        <v>6580.59</v>
      </c>
      <c r="K185" t="s">
        <v>49</v>
      </c>
      <c r="L185" s="2">
        <v>45806</v>
      </c>
      <c r="M185" t="s">
        <v>113</v>
      </c>
      <c r="N185">
        <v>1643987.43</v>
      </c>
      <c r="O185" t="s">
        <v>25</v>
      </c>
      <c r="P185">
        <f>YEAR('Main DataSet'!$L185)</f>
        <v>2025</v>
      </c>
      <c r="Q185">
        <f>MONTH('Main DataSet'!$L185)</f>
        <v>5</v>
      </c>
      <c r="R185" t="str">
        <f>TEXT('Main DataSet'!$L185,"MM-YYYY")</f>
        <v>05-2025</v>
      </c>
    </row>
    <row r="186" spans="1:18" ht="15.75" customHeight="1" x14ac:dyDescent="0.2">
      <c r="A186" t="s">
        <v>458</v>
      </c>
      <c r="B186">
        <v>365649</v>
      </c>
      <c r="C186" t="s">
        <v>459</v>
      </c>
      <c r="D186">
        <v>709341661530</v>
      </c>
      <c r="E186" t="s">
        <v>64</v>
      </c>
      <c r="F186" t="s">
        <v>177</v>
      </c>
      <c r="G186" t="s">
        <v>178</v>
      </c>
      <c r="H186" t="s">
        <v>21</v>
      </c>
      <c r="I186" t="s">
        <v>53</v>
      </c>
      <c r="J186">
        <v>27356.09</v>
      </c>
      <c r="K186" t="s">
        <v>23</v>
      </c>
      <c r="L186" s="2">
        <v>45509</v>
      </c>
      <c r="M186" t="s">
        <v>24</v>
      </c>
      <c r="N186">
        <v>77396.25</v>
      </c>
      <c r="O186" t="s">
        <v>25</v>
      </c>
      <c r="P186">
        <f>YEAR('Main DataSet'!$L186)</f>
        <v>2024</v>
      </c>
      <c r="Q186">
        <f>MONTH('Main DataSet'!$L186)</f>
        <v>8</v>
      </c>
      <c r="R186" t="str">
        <f>TEXT('Main DataSet'!$L186,"MM-YYYY")</f>
        <v>08-2024</v>
      </c>
    </row>
    <row r="187" spans="1:18" ht="15.75" customHeight="1" x14ac:dyDescent="0.2">
      <c r="A187" t="s">
        <v>460</v>
      </c>
      <c r="B187">
        <v>818603</v>
      </c>
      <c r="C187" t="s">
        <v>461</v>
      </c>
      <c r="D187">
        <v>782215302028</v>
      </c>
      <c r="E187" t="s">
        <v>18</v>
      </c>
      <c r="F187" t="s">
        <v>56</v>
      </c>
      <c r="G187" t="s">
        <v>57</v>
      </c>
      <c r="H187" t="s">
        <v>21</v>
      </c>
      <c r="I187" t="s">
        <v>22</v>
      </c>
      <c r="J187">
        <v>259278.23</v>
      </c>
      <c r="K187" t="s">
        <v>39</v>
      </c>
      <c r="L187" s="2">
        <v>45810</v>
      </c>
      <c r="M187" t="s">
        <v>50</v>
      </c>
      <c r="N187">
        <v>1616440.48</v>
      </c>
      <c r="O187" t="s">
        <v>25</v>
      </c>
      <c r="P187">
        <f>YEAR('Main DataSet'!$L187)</f>
        <v>2025</v>
      </c>
      <c r="Q187">
        <f>MONTH('Main DataSet'!$L187)</f>
        <v>6</v>
      </c>
      <c r="R187" t="str">
        <f>TEXT('Main DataSet'!$L187,"MM-YYYY")</f>
        <v>06-2025</v>
      </c>
    </row>
    <row r="188" spans="1:18" ht="15.75" customHeight="1" x14ac:dyDescent="0.2">
      <c r="A188" t="s">
        <v>462</v>
      </c>
      <c r="B188">
        <v>764919</v>
      </c>
      <c r="C188" t="s">
        <v>463</v>
      </c>
      <c r="D188">
        <v>459712929306</v>
      </c>
      <c r="E188" t="s">
        <v>64</v>
      </c>
      <c r="F188" t="s">
        <v>166</v>
      </c>
      <c r="G188" t="s">
        <v>167</v>
      </c>
      <c r="H188" t="s">
        <v>70</v>
      </c>
      <c r="I188" t="s">
        <v>53</v>
      </c>
      <c r="J188">
        <v>102247.08</v>
      </c>
      <c r="K188" t="s">
        <v>39</v>
      </c>
      <c r="L188" s="2">
        <v>45286</v>
      </c>
      <c r="M188" t="s">
        <v>24</v>
      </c>
      <c r="N188">
        <v>1111261.05</v>
      </c>
      <c r="O188" t="s">
        <v>25</v>
      </c>
      <c r="P188">
        <f>YEAR('Main DataSet'!$L188)</f>
        <v>2023</v>
      </c>
      <c r="Q188">
        <f>MONTH('Main DataSet'!$L188)</f>
        <v>12</v>
      </c>
      <c r="R188" t="str">
        <f>TEXT('Main DataSet'!$L188,"MM-YYYY")</f>
        <v>12-2023</v>
      </c>
    </row>
    <row r="189" spans="1:18" ht="15.75" customHeight="1" x14ac:dyDescent="0.2">
      <c r="A189" t="s">
        <v>464</v>
      </c>
      <c r="B189">
        <v>408340</v>
      </c>
      <c r="C189" t="s">
        <v>465</v>
      </c>
      <c r="D189">
        <v>128421661114</v>
      </c>
      <c r="E189" t="s">
        <v>35</v>
      </c>
      <c r="F189" t="s">
        <v>60</v>
      </c>
      <c r="G189" t="s">
        <v>61</v>
      </c>
      <c r="H189" t="s">
        <v>70</v>
      </c>
      <c r="I189" t="s">
        <v>38</v>
      </c>
      <c r="J189">
        <v>94310.27</v>
      </c>
      <c r="K189" t="s">
        <v>98</v>
      </c>
      <c r="L189" s="2">
        <v>45623</v>
      </c>
      <c r="M189" t="s">
        <v>24</v>
      </c>
      <c r="N189">
        <v>144857.48000000001</v>
      </c>
      <c r="O189" t="s">
        <v>179</v>
      </c>
      <c r="P189">
        <f>YEAR('Main DataSet'!$L189)</f>
        <v>2024</v>
      </c>
      <c r="Q189">
        <f>MONTH('Main DataSet'!$L189)</f>
        <v>11</v>
      </c>
      <c r="R189" t="str">
        <f>TEXT('Main DataSet'!$L189,"MM-YYYY")</f>
        <v>11-2024</v>
      </c>
    </row>
    <row r="190" spans="1:18" ht="15.75" customHeight="1" x14ac:dyDescent="0.2">
      <c r="A190" t="s">
        <v>466</v>
      </c>
      <c r="B190">
        <v>599905</v>
      </c>
      <c r="C190" t="s">
        <v>467</v>
      </c>
      <c r="D190">
        <v>532372091101</v>
      </c>
      <c r="E190" t="s">
        <v>18</v>
      </c>
      <c r="F190" t="s">
        <v>19</v>
      </c>
      <c r="G190" t="s">
        <v>20</v>
      </c>
      <c r="H190" t="s">
        <v>70</v>
      </c>
      <c r="I190" t="s">
        <v>22</v>
      </c>
      <c r="J190">
        <v>197642.07</v>
      </c>
      <c r="K190" t="s">
        <v>23</v>
      </c>
      <c r="L190" s="2">
        <v>45364</v>
      </c>
      <c r="M190" t="s">
        <v>24</v>
      </c>
      <c r="N190">
        <v>1385401.9</v>
      </c>
      <c r="O190" t="s">
        <v>25</v>
      </c>
      <c r="P190">
        <f>YEAR('Main DataSet'!$L190)</f>
        <v>2024</v>
      </c>
      <c r="Q190">
        <f>MONTH('Main DataSet'!$L190)</f>
        <v>3</v>
      </c>
      <c r="R190" t="str">
        <f>TEXT('Main DataSet'!$L190,"MM-YYYY")</f>
        <v>03-2024</v>
      </c>
    </row>
    <row r="191" spans="1:18" ht="15.75" customHeight="1" x14ac:dyDescent="0.2">
      <c r="A191" t="s">
        <v>468</v>
      </c>
      <c r="B191">
        <v>185724</v>
      </c>
      <c r="C191" t="s">
        <v>469</v>
      </c>
      <c r="D191">
        <v>133109804226</v>
      </c>
      <c r="E191" t="s">
        <v>91</v>
      </c>
      <c r="F191" t="s">
        <v>105</v>
      </c>
      <c r="G191" t="s">
        <v>106</v>
      </c>
      <c r="H191" t="s">
        <v>21</v>
      </c>
      <c r="I191" t="s">
        <v>38</v>
      </c>
      <c r="J191">
        <v>108609.83</v>
      </c>
      <c r="K191" t="s">
        <v>39</v>
      </c>
      <c r="L191" s="2">
        <v>45438</v>
      </c>
      <c r="M191" t="s">
        <v>24</v>
      </c>
      <c r="N191">
        <v>630301.93000000005</v>
      </c>
      <c r="O191" t="s">
        <v>25</v>
      </c>
      <c r="P191">
        <f>YEAR('Main DataSet'!$L191)</f>
        <v>2024</v>
      </c>
      <c r="Q191">
        <f>MONTH('Main DataSet'!$L191)</f>
        <v>5</v>
      </c>
      <c r="R191" t="str">
        <f>TEXT('Main DataSet'!$L191,"MM-YYYY")</f>
        <v>05-2024</v>
      </c>
    </row>
    <row r="192" spans="1:18" ht="15.75" customHeight="1" x14ac:dyDescent="0.2">
      <c r="A192" t="s">
        <v>470</v>
      </c>
      <c r="B192">
        <v>459857</v>
      </c>
      <c r="C192" t="s">
        <v>471</v>
      </c>
      <c r="D192">
        <v>674125296809</v>
      </c>
      <c r="E192" t="s">
        <v>35</v>
      </c>
      <c r="F192" t="s">
        <v>36</v>
      </c>
      <c r="G192" t="s">
        <v>37</v>
      </c>
      <c r="H192" t="s">
        <v>21</v>
      </c>
      <c r="I192" t="s">
        <v>53</v>
      </c>
      <c r="J192">
        <v>178673.93</v>
      </c>
      <c r="K192" t="s">
        <v>39</v>
      </c>
      <c r="L192" s="2">
        <v>45785</v>
      </c>
      <c r="M192" t="s">
        <v>24</v>
      </c>
      <c r="N192">
        <v>562061.77</v>
      </c>
      <c r="O192" t="s">
        <v>25</v>
      </c>
      <c r="P192">
        <f>YEAR('Main DataSet'!$L192)</f>
        <v>2025</v>
      </c>
      <c r="Q192">
        <f>MONTH('Main DataSet'!$L192)</f>
        <v>5</v>
      </c>
      <c r="R192" t="str">
        <f>TEXT('Main DataSet'!$L192,"MM-YYYY")</f>
        <v>05-2025</v>
      </c>
    </row>
    <row r="193" spans="1:18" ht="15.75" customHeight="1" x14ac:dyDescent="0.2">
      <c r="A193" t="s">
        <v>472</v>
      </c>
      <c r="B193">
        <v>927818</v>
      </c>
      <c r="C193" t="s">
        <v>473</v>
      </c>
      <c r="D193">
        <v>644707102453</v>
      </c>
      <c r="E193" t="s">
        <v>28</v>
      </c>
      <c r="F193" t="s">
        <v>29</v>
      </c>
      <c r="G193" t="s">
        <v>30</v>
      </c>
      <c r="H193" t="s">
        <v>70</v>
      </c>
      <c r="I193" t="s">
        <v>53</v>
      </c>
      <c r="J193">
        <v>274718.28000000003</v>
      </c>
      <c r="K193" t="s">
        <v>49</v>
      </c>
      <c r="L193" s="2">
        <v>45549</v>
      </c>
      <c r="M193" t="s">
        <v>24</v>
      </c>
      <c r="N193">
        <v>1754440.1</v>
      </c>
      <c r="O193" t="s">
        <v>25</v>
      </c>
      <c r="P193">
        <f>YEAR('Main DataSet'!$L193)</f>
        <v>2024</v>
      </c>
      <c r="Q193">
        <f>MONTH('Main DataSet'!$L193)</f>
        <v>9</v>
      </c>
      <c r="R193" t="str">
        <f>TEXT('Main DataSet'!$L193,"MM-YYYY")</f>
        <v>09-2024</v>
      </c>
    </row>
    <row r="194" spans="1:18" ht="15.75" customHeight="1" x14ac:dyDescent="0.2">
      <c r="A194" t="s">
        <v>474</v>
      </c>
      <c r="B194">
        <v>569704</v>
      </c>
      <c r="C194" t="s">
        <v>475</v>
      </c>
      <c r="D194">
        <v>948080124499</v>
      </c>
      <c r="E194" t="s">
        <v>18</v>
      </c>
      <c r="F194" t="s">
        <v>19</v>
      </c>
      <c r="G194" t="s">
        <v>20</v>
      </c>
      <c r="H194" t="s">
        <v>67</v>
      </c>
      <c r="I194" t="s">
        <v>22</v>
      </c>
      <c r="J194">
        <v>570945.16</v>
      </c>
      <c r="K194" t="s">
        <v>39</v>
      </c>
      <c r="L194" s="2">
        <v>45534</v>
      </c>
      <c r="M194" t="s">
        <v>24</v>
      </c>
      <c r="N194">
        <v>2282261.11</v>
      </c>
      <c r="O194" t="s">
        <v>25</v>
      </c>
      <c r="P194">
        <f>YEAR('Main DataSet'!$L194)</f>
        <v>2024</v>
      </c>
      <c r="Q194">
        <f>MONTH('Main DataSet'!$L194)</f>
        <v>8</v>
      </c>
      <c r="R194" t="str">
        <f>TEXT('Main DataSet'!$L194,"MM-YYYY")</f>
        <v>08-2024</v>
      </c>
    </row>
    <row r="195" spans="1:18" ht="15.75" customHeight="1" x14ac:dyDescent="0.2">
      <c r="A195" t="s">
        <v>476</v>
      </c>
      <c r="B195">
        <v>930330</v>
      </c>
      <c r="C195" t="s">
        <v>477</v>
      </c>
      <c r="D195">
        <v>171580026376</v>
      </c>
      <c r="E195" t="s">
        <v>35</v>
      </c>
      <c r="F195" t="s">
        <v>73</v>
      </c>
      <c r="G195" t="s">
        <v>74</v>
      </c>
      <c r="H195" t="s">
        <v>31</v>
      </c>
      <c r="I195" t="s">
        <v>22</v>
      </c>
      <c r="J195">
        <v>54099.78</v>
      </c>
      <c r="K195" t="s">
        <v>49</v>
      </c>
      <c r="L195" s="2">
        <v>45635</v>
      </c>
      <c r="M195" t="s">
        <v>113</v>
      </c>
      <c r="N195">
        <v>747054.91</v>
      </c>
      <c r="O195" t="s">
        <v>25</v>
      </c>
      <c r="P195">
        <f>YEAR('Main DataSet'!$L195)</f>
        <v>2024</v>
      </c>
      <c r="Q195">
        <f>MONTH('Main DataSet'!$L195)</f>
        <v>12</v>
      </c>
      <c r="R195" t="str">
        <f>TEXT('Main DataSet'!$L195,"MM-YYYY")</f>
        <v>12-2024</v>
      </c>
    </row>
    <row r="196" spans="1:18" ht="15.75" customHeight="1" x14ac:dyDescent="0.2">
      <c r="A196" t="s">
        <v>478</v>
      </c>
      <c r="B196">
        <v>509505</v>
      </c>
      <c r="C196" t="s">
        <v>479</v>
      </c>
      <c r="D196">
        <v>323601796174</v>
      </c>
      <c r="E196" t="s">
        <v>35</v>
      </c>
      <c r="F196" t="s">
        <v>36</v>
      </c>
      <c r="G196" t="s">
        <v>37</v>
      </c>
      <c r="H196" t="s">
        <v>67</v>
      </c>
      <c r="I196" t="s">
        <v>53</v>
      </c>
      <c r="J196">
        <v>347787.5</v>
      </c>
      <c r="K196" t="s">
        <v>98</v>
      </c>
      <c r="L196" s="2">
        <v>45140</v>
      </c>
      <c r="M196" t="s">
        <v>24</v>
      </c>
      <c r="N196">
        <v>1817009.99</v>
      </c>
      <c r="O196" t="s">
        <v>25</v>
      </c>
      <c r="P196">
        <f>YEAR('Main DataSet'!$L196)</f>
        <v>2023</v>
      </c>
      <c r="Q196">
        <f>MONTH('Main DataSet'!$L196)</f>
        <v>8</v>
      </c>
      <c r="R196" t="str">
        <f>TEXT('Main DataSet'!$L196,"MM-YYYY")</f>
        <v>08-2023</v>
      </c>
    </row>
    <row r="197" spans="1:18" ht="15.75" customHeight="1" x14ac:dyDescent="0.2">
      <c r="A197" t="s">
        <v>480</v>
      </c>
      <c r="B197">
        <v>384060</v>
      </c>
      <c r="C197" t="s">
        <v>481</v>
      </c>
      <c r="D197">
        <v>174074350282</v>
      </c>
      <c r="E197" t="s">
        <v>28</v>
      </c>
      <c r="F197" t="s">
        <v>79</v>
      </c>
      <c r="G197" t="s">
        <v>80</v>
      </c>
      <c r="H197" t="s">
        <v>70</v>
      </c>
      <c r="I197" t="s">
        <v>53</v>
      </c>
      <c r="J197">
        <v>158285.28</v>
      </c>
      <c r="K197" t="s">
        <v>98</v>
      </c>
      <c r="L197" s="2">
        <v>45564</v>
      </c>
      <c r="M197" t="s">
        <v>24</v>
      </c>
      <c r="N197">
        <v>367563.6</v>
      </c>
      <c r="O197" t="s">
        <v>25</v>
      </c>
      <c r="P197">
        <f>YEAR('Main DataSet'!$L197)</f>
        <v>2024</v>
      </c>
      <c r="Q197">
        <f>MONTH('Main DataSet'!$L197)</f>
        <v>9</v>
      </c>
      <c r="R197" t="str">
        <f>TEXT('Main DataSet'!$L197,"MM-YYYY")</f>
        <v>09-2024</v>
      </c>
    </row>
    <row r="198" spans="1:18" ht="15.75" customHeight="1" x14ac:dyDescent="0.2">
      <c r="A198" t="s">
        <v>482</v>
      </c>
      <c r="B198">
        <v>196463</v>
      </c>
      <c r="C198" t="s">
        <v>483</v>
      </c>
      <c r="D198">
        <v>446324586564</v>
      </c>
      <c r="E198" t="s">
        <v>28</v>
      </c>
      <c r="F198" t="s">
        <v>216</v>
      </c>
      <c r="G198" t="s">
        <v>217</v>
      </c>
      <c r="H198" t="s">
        <v>70</v>
      </c>
      <c r="I198" t="s">
        <v>48</v>
      </c>
      <c r="J198">
        <v>232081.79</v>
      </c>
      <c r="K198" t="s">
        <v>23</v>
      </c>
      <c r="L198" s="2">
        <v>45619</v>
      </c>
      <c r="M198" t="s">
        <v>24</v>
      </c>
      <c r="N198">
        <v>1764401.86</v>
      </c>
      <c r="O198" t="s">
        <v>25</v>
      </c>
      <c r="P198">
        <f>YEAR('Main DataSet'!$L198)</f>
        <v>2024</v>
      </c>
      <c r="Q198">
        <f>MONTH('Main DataSet'!$L198)</f>
        <v>11</v>
      </c>
      <c r="R198" t="str">
        <f>TEXT('Main DataSet'!$L198,"MM-YYYY")</f>
        <v>11-2024</v>
      </c>
    </row>
    <row r="199" spans="1:18" ht="15.75" customHeight="1" x14ac:dyDescent="0.2">
      <c r="A199" t="s">
        <v>484</v>
      </c>
      <c r="B199">
        <v>869806</v>
      </c>
      <c r="C199" t="s">
        <v>485</v>
      </c>
      <c r="D199">
        <v>993033314029</v>
      </c>
      <c r="E199" t="s">
        <v>64</v>
      </c>
      <c r="F199" t="s">
        <v>166</v>
      </c>
      <c r="G199" t="s">
        <v>167</v>
      </c>
      <c r="H199" t="s">
        <v>31</v>
      </c>
      <c r="I199" t="s">
        <v>48</v>
      </c>
      <c r="J199">
        <v>224004.06</v>
      </c>
      <c r="K199" t="s">
        <v>39</v>
      </c>
      <c r="L199" s="2">
        <v>45369</v>
      </c>
      <c r="M199" t="s">
        <v>24</v>
      </c>
      <c r="N199">
        <v>1785565.49</v>
      </c>
      <c r="O199" t="s">
        <v>25</v>
      </c>
      <c r="P199">
        <f>YEAR('Main DataSet'!$L199)</f>
        <v>2024</v>
      </c>
      <c r="Q199">
        <f>MONTH('Main DataSet'!$L199)</f>
        <v>3</v>
      </c>
      <c r="R199" t="str">
        <f>TEXT('Main DataSet'!$L199,"MM-YYYY")</f>
        <v>03-2024</v>
      </c>
    </row>
    <row r="200" spans="1:18" ht="15.75" customHeight="1" x14ac:dyDescent="0.2">
      <c r="A200" t="s">
        <v>486</v>
      </c>
      <c r="B200">
        <v>916524</v>
      </c>
      <c r="C200" t="s">
        <v>487</v>
      </c>
      <c r="D200">
        <v>294611826165</v>
      </c>
      <c r="E200" t="s">
        <v>18</v>
      </c>
      <c r="F200" t="s">
        <v>56</v>
      </c>
      <c r="G200" t="s">
        <v>57</v>
      </c>
      <c r="H200" t="s">
        <v>70</v>
      </c>
      <c r="I200" t="s">
        <v>38</v>
      </c>
      <c r="J200">
        <v>104110.42</v>
      </c>
      <c r="K200" t="s">
        <v>49</v>
      </c>
      <c r="L200" s="2">
        <v>45618</v>
      </c>
      <c r="M200" t="s">
        <v>24</v>
      </c>
      <c r="N200">
        <v>33534.019999999997</v>
      </c>
      <c r="O200" t="s">
        <v>25</v>
      </c>
      <c r="P200">
        <f>YEAR('Main DataSet'!$L200)</f>
        <v>2024</v>
      </c>
      <c r="Q200">
        <f>MONTH('Main DataSet'!$L200)</f>
        <v>11</v>
      </c>
      <c r="R200" t="str">
        <f>TEXT('Main DataSet'!$L200,"MM-YYYY")</f>
        <v>11-2024</v>
      </c>
    </row>
    <row r="201" spans="1:18" ht="15.75" customHeight="1" x14ac:dyDescent="0.2">
      <c r="A201" t="s">
        <v>488</v>
      </c>
      <c r="B201">
        <v>713748</v>
      </c>
      <c r="C201" t="s">
        <v>489</v>
      </c>
      <c r="D201">
        <v>104745824924</v>
      </c>
      <c r="E201" t="s">
        <v>35</v>
      </c>
      <c r="F201" t="s">
        <v>136</v>
      </c>
      <c r="G201" t="s">
        <v>137</v>
      </c>
      <c r="H201" t="s">
        <v>70</v>
      </c>
      <c r="I201" t="s">
        <v>53</v>
      </c>
      <c r="J201">
        <v>180619.41</v>
      </c>
      <c r="K201" t="s">
        <v>23</v>
      </c>
      <c r="L201" s="2">
        <v>45638</v>
      </c>
      <c r="M201" t="s">
        <v>168</v>
      </c>
      <c r="N201">
        <v>1138412.6299999999</v>
      </c>
      <c r="O201" t="s">
        <v>25</v>
      </c>
      <c r="P201">
        <f>YEAR('Main DataSet'!$L201)</f>
        <v>2024</v>
      </c>
      <c r="Q201">
        <f>MONTH('Main DataSet'!$L201)</f>
        <v>12</v>
      </c>
      <c r="R201" t="str">
        <f>TEXT('Main DataSet'!$L201,"MM-YYYY")</f>
        <v>12-2024</v>
      </c>
    </row>
    <row r="202" spans="1:18" ht="15.75" customHeight="1" x14ac:dyDescent="0.2">
      <c r="A202" t="s">
        <v>490</v>
      </c>
      <c r="B202">
        <v>147276</v>
      </c>
      <c r="C202" t="s">
        <v>491</v>
      </c>
      <c r="D202">
        <v>298367664209</v>
      </c>
      <c r="E202" t="s">
        <v>91</v>
      </c>
      <c r="F202" t="s">
        <v>130</v>
      </c>
      <c r="G202" t="s">
        <v>131</v>
      </c>
      <c r="H202" t="s">
        <v>31</v>
      </c>
      <c r="I202" t="s">
        <v>53</v>
      </c>
      <c r="J202">
        <v>51950.12</v>
      </c>
      <c r="K202" t="s">
        <v>39</v>
      </c>
      <c r="L202" s="2">
        <v>45700</v>
      </c>
      <c r="M202" t="s">
        <v>24</v>
      </c>
      <c r="N202">
        <v>901918.7</v>
      </c>
      <c r="O202" t="s">
        <v>25</v>
      </c>
      <c r="P202">
        <f>YEAR('Main DataSet'!$L202)</f>
        <v>2025</v>
      </c>
      <c r="Q202">
        <f>MONTH('Main DataSet'!$L202)</f>
        <v>2</v>
      </c>
      <c r="R202" t="str">
        <f>TEXT('Main DataSet'!$L202,"MM-YYYY")</f>
        <v>02-2025</v>
      </c>
    </row>
    <row r="203" spans="1:18" ht="15.75" customHeight="1" x14ac:dyDescent="0.2">
      <c r="A203" t="s">
        <v>492</v>
      </c>
      <c r="B203">
        <v>534364</v>
      </c>
      <c r="C203" t="s">
        <v>493</v>
      </c>
      <c r="D203">
        <v>908844402758</v>
      </c>
      <c r="E203" t="s">
        <v>91</v>
      </c>
      <c r="F203" t="s">
        <v>109</v>
      </c>
      <c r="G203" t="s">
        <v>110</v>
      </c>
      <c r="H203" t="s">
        <v>31</v>
      </c>
      <c r="I203" t="s">
        <v>22</v>
      </c>
      <c r="J203">
        <v>443370.23999999999</v>
      </c>
      <c r="K203" t="s">
        <v>39</v>
      </c>
      <c r="L203" s="2">
        <v>45361</v>
      </c>
      <c r="M203" t="s">
        <v>24</v>
      </c>
      <c r="N203">
        <v>556602.14</v>
      </c>
      <c r="O203" t="s">
        <v>25</v>
      </c>
      <c r="P203">
        <f>YEAR('Main DataSet'!$L203)</f>
        <v>2024</v>
      </c>
      <c r="Q203">
        <f>MONTH('Main DataSet'!$L203)</f>
        <v>3</v>
      </c>
      <c r="R203" t="str">
        <f>TEXT('Main DataSet'!$L203,"MM-YYYY")</f>
        <v>03-2024</v>
      </c>
    </row>
    <row r="204" spans="1:18" ht="15.75" customHeight="1" x14ac:dyDescent="0.2">
      <c r="A204" t="s">
        <v>494</v>
      </c>
      <c r="B204">
        <v>929089</v>
      </c>
      <c r="C204" t="s">
        <v>495</v>
      </c>
      <c r="D204">
        <v>879121856049</v>
      </c>
      <c r="E204" t="s">
        <v>35</v>
      </c>
      <c r="F204" t="s">
        <v>60</v>
      </c>
      <c r="G204" t="s">
        <v>61</v>
      </c>
      <c r="H204" t="s">
        <v>31</v>
      </c>
      <c r="I204" t="s">
        <v>22</v>
      </c>
      <c r="J204">
        <v>282561.71999999997</v>
      </c>
      <c r="K204" t="s">
        <v>23</v>
      </c>
      <c r="L204" s="2">
        <v>45484</v>
      </c>
      <c r="M204" t="s">
        <v>50</v>
      </c>
      <c r="N204">
        <v>1454386.03</v>
      </c>
      <c r="O204" t="s">
        <v>25</v>
      </c>
      <c r="P204">
        <f>YEAR('Main DataSet'!$L204)</f>
        <v>2024</v>
      </c>
      <c r="Q204">
        <f>MONTH('Main DataSet'!$L204)</f>
        <v>7</v>
      </c>
      <c r="R204" t="str">
        <f>TEXT('Main DataSet'!$L204,"MM-YYYY")</f>
        <v>07-2024</v>
      </c>
    </row>
    <row r="205" spans="1:18" ht="15.75" customHeight="1" x14ac:dyDescent="0.2">
      <c r="A205" t="s">
        <v>496</v>
      </c>
      <c r="B205">
        <v>767038</v>
      </c>
      <c r="C205" t="s">
        <v>497</v>
      </c>
      <c r="D205">
        <v>448540026288</v>
      </c>
      <c r="E205" t="s">
        <v>64</v>
      </c>
      <c r="F205" t="s">
        <v>83</v>
      </c>
      <c r="G205" t="s">
        <v>84</v>
      </c>
      <c r="H205" t="s">
        <v>31</v>
      </c>
      <c r="I205" t="s">
        <v>48</v>
      </c>
      <c r="J205">
        <v>154737.07</v>
      </c>
      <c r="K205" t="s">
        <v>32</v>
      </c>
      <c r="L205" s="2">
        <v>45624</v>
      </c>
      <c r="M205" t="s">
        <v>24</v>
      </c>
      <c r="N205">
        <v>1021765.12</v>
      </c>
      <c r="O205" t="s">
        <v>25</v>
      </c>
      <c r="P205">
        <f>YEAR('Main DataSet'!$L205)</f>
        <v>2024</v>
      </c>
      <c r="Q205">
        <f>MONTH('Main DataSet'!$L205)</f>
        <v>11</v>
      </c>
      <c r="R205" t="str">
        <f>TEXT('Main DataSet'!$L205,"MM-YYYY")</f>
        <v>11-2024</v>
      </c>
    </row>
    <row r="206" spans="1:18" ht="15.75" customHeight="1" x14ac:dyDescent="0.2">
      <c r="A206" t="s">
        <v>498</v>
      </c>
      <c r="B206">
        <v>661975</v>
      </c>
      <c r="C206" t="s">
        <v>499</v>
      </c>
      <c r="D206">
        <v>700954169412</v>
      </c>
      <c r="E206" t="s">
        <v>91</v>
      </c>
      <c r="F206" t="s">
        <v>162</v>
      </c>
      <c r="G206" t="s">
        <v>163</v>
      </c>
      <c r="H206" t="s">
        <v>21</v>
      </c>
      <c r="I206" t="s">
        <v>48</v>
      </c>
      <c r="J206">
        <v>116023.92</v>
      </c>
      <c r="K206" t="s">
        <v>32</v>
      </c>
      <c r="L206" s="2">
        <v>45761</v>
      </c>
      <c r="M206" t="s">
        <v>24</v>
      </c>
      <c r="N206">
        <v>1887254.61</v>
      </c>
      <c r="O206" t="s">
        <v>25</v>
      </c>
      <c r="P206">
        <f>YEAR('Main DataSet'!$L206)</f>
        <v>2025</v>
      </c>
      <c r="Q206">
        <f>MONTH('Main DataSet'!$L206)</f>
        <v>4</v>
      </c>
      <c r="R206" t="str">
        <f>TEXT('Main DataSet'!$L206,"MM-YYYY")</f>
        <v>04-2025</v>
      </c>
    </row>
    <row r="207" spans="1:18" ht="15.75" customHeight="1" x14ac:dyDescent="0.2">
      <c r="A207" t="s">
        <v>500</v>
      </c>
      <c r="B207">
        <v>716285</v>
      </c>
      <c r="C207" t="s">
        <v>501</v>
      </c>
      <c r="D207">
        <v>784033043076</v>
      </c>
      <c r="E207" t="s">
        <v>35</v>
      </c>
      <c r="F207" t="s">
        <v>36</v>
      </c>
      <c r="G207" t="s">
        <v>37</v>
      </c>
      <c r="H207" t="s">
        <v>31</v>
      </c>
      <c r="I207" t="s">
        <v>22</v>
      </c>
      <c r="J207">
        <v>70607.77</v>
      </c>
      <c r="K207" t="s">
        <v>39</v>
      </c>
      <c r="L207" s="2">
        <v>45329</v>
      </c>
      <c r="M207" t="s">
        <v>24</v>
      </c>
      <c r="N207">
        <v>1543020.48</v>
      </c>
      <c r="O207" t="s">
        <v>25</v>
      </c>
      <c r="P207">
        <f>YEAR('Main DataSet'!$L207)</f>
        <v>2024</v>
      </c>
      <c r="Q207">
        <f>MONTH('Main DataSet'!$L207)</f>
        <v>2</v>
      </c>
      <c r="R207" t="str">
        <f>TEXT('Main DataSet'!$L207,"MM-YYYY")</f>
        <v>02-2024</v>
      </c>
    </row>
    <row r="208" spans="1:18" ht="15.75" customHeight="1" x14ac:dyDescent="0.2">
      <c r="A208" t="s">
        <v>502</v>
      </c>
      <c r="B208">
        <v>605524</v>
      </c>
      <c r="C208" t="s">
        <v>503</v>
      </c>
      <c r="D208">
        <v>956938466004</v>
      </c>
      <c r="E208" t="s">
        <v>64</v>
      </c>
      <c r="F208" t="s">
        <v>146</v>
      </c>
      <c r="G208" t="s">
        <v>147</v>
      </c>
      <c r="H208" t="s">
        <v>31</v>
      </c>
      <c r="I208" t="s">
        <v>38</v>
      </c>
      <c r="J208">
        <v>72811.91</v>
      </c>
      <c r="K208" t="s">
        <v>39</v>
      </c>
      <c r="L208" s="2">
        <v>45436</v>
      </c>
      <c r="M208" t="s">
        <v>24</v>
      </c>
      <c r="N208">
        <v>84736.760000000009</v>
      </c>
      <c r="O208" t="s">
        <v>25</v>
      </c>
      <c r="P208">
        <f>YEAR('Main DataSet'!$L208)</f>
        <v>2024</v>
      </c>
      <c r="Q208">
        <f>MONTH('Main DataSet'!$L208)</f>
        <v>5</v>
      </c>
      <c r="R208" t="str">
        <f>TEXT('Main DataSet'!$L208,"MM-YYYY")</f>
        <v>05-2024</v>
      </c>
    </row>
    <row r="209" spans="1:18" ht="15.75" customHeight="1" x14ac:dyDescent="0.2">
      <c r="A209" t="s">
        <v>504</v>
      </c>
      <c r="B209">
        <v>765487</v>
      </c>
      <c r="C209" t="s">
        <v>505</v>
      </c>
      <c r="D209">
        <v>356872754777</v>
      </c>
      <c r="E209" t="s">
        <v>35</v>
      </c>
      <c r="F209" t="s">
        <v>60</v>
      </c>
      <c r="G209" t="s">
        <v>61</v>
      </c>
      <c r="H209" t="s">
        <v>31</v>
      </c>
      <c r="I209" t="s">
        <v>38</v>
      </c>
      <c r="J209">
        <v>107276.07</v>
      </c>
      <c r="K209" t="s">
        <v>23</v>
      </c>
      <c r="L209" s="2">
        <v>45658</v>
      </c>
      <c r="M209" t="s">
        <v>24</v>
      </c>
      <c r="N209">
        <v>1500386.7</v>
      </c>
      <c r="O209" t="s">
        <v>25</v>
      </c>
      <c r="P209">
        <f>YEAR('Main DataSet'!$L209)</f>
        <v>2025</v>
      </c>
      <c r="Q209">
        <f>MONTH('Main DataSet'!$L209)</f>
        <v>1</v>
      </c>
      <c r="R209" t="str">
        <f>TEXT('Main DataSet'!$L209,"MM-YYYY")</f>
        <v>01-2025</v>
      </c>
    </row>
    <row r="210" spans="1:18" ht="15.75" customHeight="1" x14ac:dyDescent="0.2">
      <c r="A210" t="s">
        <v>506</v>
      </c>
      <c r="B210">
        <v>155745</v>
      </c>
      <c r="C210" t="s">
        <v>507</v>
      </c>
      <c r="D210">
        <v>967181974276</v>
      </c>
      <c r="E210" t="s">
        <v>28</v>
      </c>
      <c r="F210" t="s">
        <v>29</v>
      </c>
      <c r="G210" t="s">
        <v>30</v>
      </c>
      <c r="H210" t="s">
        <v>70</v>
      </c>
      <c r="I210" t="s">
        <v>22</v>
      </c>
      <c r="J210">
        <v>91230.37</v>
      </c>
      <c r="K210" t="s">
        <v>49</v>
      </c>
      <c r="L210" s="2">
        <v>45235</v>
      </c>
      <c r="M210" t="s">
        <v>24</v>
      </c>
      <c r="N210">
        <v>1671638.55</v>
      </c>
      <c r="O210" t="s">
        <v>25</v>
      </c>
      <c r="P210">
        <f>YEAR('Main DataSet'!$L210)</f>
        <v>2023</v>
      </c>
      <c r="Q210">
        <f>MONTH('Main DataSet'!$L210)</f>
        <v>11</v>
      </c>
      <c r="R210" t="str">
        <f>TEXT('Main DataSet'!$L210,"MM-YYYY")</f>
        <v>11-2023</v>
      </c>
    </row>
    <row r="211" spans="1:18" ht="15.75" customHeight="1" x14ac:dyDescent="0.2">
      <c r="A211" t="s">
        <v>508</v>
      </c>
      <c r="B211">
        <v>303453</v>
      </c>
      <c r="C211" t="s">
        <v>509</v>
      </c>
      <c r="D211">
        <v>243746329004</v>
      </c>
      <c r="E211" t="s">
        <v>91</v>
      </c>
      <c r="F211" t="s">
        <v>92</v>
      </c>
      <c r="G211" t="s">
        <v>93</v>
      </c>
      <c r="H211" t="s">
        <v>21</v>
      </c>
      <c r="I211" t="s">
        <v>53</v>
      </c>
      <c r="J211">
        <v>152931.09</v>
      </c>
      <c r="K211" t="s">
        <v>49</v>
      </c>
      <c r="L211" s="2">
        <v>45373</v>
      </c>
      <c r="M211" t="s">
        <v>24</v>
      </c>
      <c r="N211">
        <v>687439.49</v>
      </c>
      <c r="O211" t="s">
        <v>25</v>
      </c>
      <c r="P211">
        <f>YEAR('Main DataSet'!$L211)</f>
        <v>2024</v>
      </c>
      <c r="Q211">
        <f>MONTH('Main DataSet'!$L211)</f>
        <v>3</v>
      </c>
      <c r="R211" t="str">
        <f>TEXT('Main DataSet'!$L211,"MM-YYYY")</f>
        <v>03-2024</v>
      </c>
    </row>
    <row r="212" spans="1:18" ht="15.75" customHeight="1" x14ac:dyDescent="0.2">
      <c r="A212" t="s">
        <v>510</v>
      </c>
      <c r="B212">
        <v>787015</v>
      </c>
      <c r="C212" t="s">
        <v>511</v>
      </c>
      <c r="D212">
        <v>575318543797</v>
      </c>
      <c r="E212" t="s">
        <v>64</v>
      </c>
      <c r="F212" t="s">
        <v>166</v>
      </c>
      <c r="G212" t="s">
        <v>167</v>
      </c>
      <c r="H212" t="s">
        <v>70</v>
      </c>
      <c r="I212" t="s">
        <v>38</v>
      </c>
      <c r="J212">
        <v>79178.86</v>
      </c>
      <c r="K212" t="s">
        <v>49</v>
      </c>
      <c r="L212" s="2">
        <v>45797</v>
      </c>
      <c r="M212" t="s">
        <v>24</v>
      </c>
      <c r="N212">
        <v>1718077.34</v>
      </c>
      <c r="O212" t="s">
        <v>179</v>
      </c>
      <c r="P212">
        <f>YEAR('Main DataSet'!$L212)</f>
        <v>2025</v>
      </c>
      <c r="Q212">
        <f>MONTH('Main DataSet'!$L212)</f>
        <v>5</v>
      </c>
      <c r="R212" t="str">
        <f>TEXT('Main DataSet'!$L212,"MM-YYYY")</f>
        <v>05-2025</v>
      </c>
    </row>
    <row r="213" spans="1:18" ht="15.75" customHeight="1" x14ac:dyDescent="0.2">
      <c r="A213" t="s">
        <v>512</v>
      </c>
      <c r="B213">
        <v>343315</v>
      </c>
      <c r="C213" t="s">
        <v>513</v>
      </c>
      <c r="D213">
        <v>972348027984</v>
      </c>
      <c r="E213" t="s">
        <v>91</v>
      </c>
      <c r="F213" t="s">
        <v>109</v>
      </c>
      <c r="G213" t="s">
        <v>110</v>
      </c>
      <c r="H213" t="s">
        <v>21</v>
      </c>
      <c r="I213" t="s">
        <v>48</v>
      </c>
      <c r="J213">
        <v>56093.16</v>
      </c>
      <c r="K213" t="s">
        <v>32</v>
      </c>
      <c r="L213" s="2">
        <v>45237</v>
      </c>
      <c r="M213" t="s">
        <v>24</v>
      </c>
      <c r="N213">
        <v>2049780.56</v>
      </c>
      <c r="O213" t="s">
        <v>25</v>
      </c>
      <c r="P213">
        <f>YEAR('Main DataSet'!$L213)</f>
        <v>2023</v>
      </c>
      <c r="Q213">
        <f>MONTH('Main DataSet'!$L213)</f>
        <v>11</v>
      </c>
      <c r="R213" t="str">
        <f>TEXT('Main DataSet'!$L213,"MM-YYYY")</f>
        <v>11-2023</v>
      </c>
    </row>
    <row r="214" spans="1:18" ht="15.75" customHeight="1" x14ac:dyDescent="0.2">
      <c r="A214" t="s">
        <v>514</v>
      </c>
      <c r="B214">
        <v>840177</v>
      </c>
      <c r="C214" t="s">
        <v>515</v>
      </c>
      <c r="D214">
        <v>620866833278</v>
      </c>
      <c r="E214" t="s">
        <v>28</v>
      </c>
      <c r="F214" t="s">
        <v>192</v>
      </c>
      <c r="G214" t="s">
        <v>193</v>
      </c>
      <c r="H214" t="s">
        <v>67</v>
      </c>
      <c r="I214" t="s">
        <v>38</v>
      </c>
      <c r="J214">
        <v>28423.01</v>
      </c>
      <c r="K214" t="s">
        <v>98</v>
      </c>
      <c r="L214" s="2">
        <v>45775</v>
      </c>
      <c r="M214" t="s">
        <v>24</v>
      </c>
      <c r="N214">
        <v>508306.81999999989</v>
      </c>
      <c r="O214" t="s">
        <v>25</v>
      </c>
      <c r="P214">
        <f>YEAR('Main DataSet'!$L214)</f>
        <v>2025</v>
      </c>
      <c r="Q214">
        <f>MONTH('Main DataSet'!$L214)</f>
        <v>4</v>
      </c>
      <c r="R214" t="str">
        <f>TEXT('Main DataSet'!$L214,"MM-YYYY")</f>
        <v>04-2025</v>
      </c>
    </row>
    <row r="215" spans="1:18" ht="15.75" customHeight="1" x14ac:dyDescent="0.2">
      <c r="A215" t="s">
        <v>516</v>
      </c>
      <c r="B215">
        <v>449494</v>
      </c>
      <c r="C215" t="s">
        <v>517</v>
      </c>
      <c r="D215">
        <v>655684209042</v>
      </c>
      <c r="E215" t="s">
        <v>28</v>
      </c>
      <c r="F215" t="s">
        <v>29</v>
      </c>
      <c r="G215" t="s">
        <v>30</v>
      </c>
      <c r="H215" t="s">
        <v>31</v>
      </c>
      <c r="I215" t="s">
        <v>48</v>
      </c>
      <c r="J215">
        <v>265513.02</v>
      </c>
      <c r="K215" t="s">
        <v>49</v>
      </c>
      <c r="L215" s="2">
        <v>45539</v>
      </c>
      <c r="M215" t="s">
        <v>24</v>
      </c>
      <c r="N215">
        <v>1258078.81</v>
      </c>
      <c r="O215" t="s">
        <v>25</v>
      </c>
      <c r="P215">
        <f>YEAR('Main DataSet'!$L215)</f>
        <v>2024</v>
      </c>
      <c r="Q215">
        <f>MONTH('Main DataSet'!$L215)</f>
        <v>9</v>
      </c>
      <c r="R215" t="str">
        <f>TEXT('Main DataSet'!$L215,"MM-YYYY")</f>
        <v>09-2024</v>
      </c>
    </row>
    <row r="216" spans="1:18" ht="15.75" customHeight="1" x14ac:dyDescent="0.2">
      <c r="A216" t="s">
        <v>518</v>
      </c>
      <c r="B216">
        <v>592263</v>
      </c>
      <c r="C216" t="s">
        <v>519</v>
      </c>
      <c r="D216">
        <v>393065946926</v>
      </c>
      <c r="E216" t="s">
        <v>35</v>
      </c>
      <c r="F216" t="s">
        <v>42</v>
      </c>
      <c r="G216" t="s">
        <v>43</v>
      </c>
      <c r="H216" t="s">
        <v>70</v>
      </c>
      <c r="I216" t="s">
        <v>22</v>
      </c>
      <c r="J216">
        <v>420524.11</v>
      </c>
      <c r="K216" t="s">
        <v>32</v>
      </c>
      <c r="L216" s="2">
        <v>45121</v>
      </c>
      <c r="M216" t="s">
        <v>24</v>
      </c>
      <c r="N216">
        <v>1287572.97</v>
      </c>
      <c r="O216" t="s">
        <v>25</v>
      </c>
      <c r="P216">
        <f>YEAR('Main DataSet'!$L216)</f>
        <v>2023</v>
      </c>
      <c r="Q216">
        <f>MONTH('Main DataSet'!$L216)</f>
        <v>7</v>
      </c>
      <c r="R216" t="str">
        <f>TEXT('Main DataSet'!$L216,"MM-YYYY")</f>
        <v>07-2023</v>
      </c>
    </row>
    <row r="217" spans="1:18" ht="15.75" customHeight="1" x14ac:dyDescent="0.2">
      <c r="A217" t="s">
        <v>520</v>
      </c>
      <c r="B217">
        <v>903080</v>
      </c>
      <c r="C217" t="s">
        <v>521</v>
      </c>
      <c r="D217">
        <v>770477101883</v>
      </c>
      <c r="E217" t="s">
        <v>64</v>
      </c>
      <c r="F217" t="s">
        <v>83</v>
      </c>
      <c r="G217" t="s">
        <v>84</v>
      </c>
      <c r="H217" t="s">
        <v>67</v>
      </c>
      <c r="I217" t="s">
        <v>48</v>
      </c>
      <c r="J217">
        <v>63923.91</v>
      </c>
      <c r="K217" t="s">
        <v>23</v>
      </c>
      <c r="L217" s="2">
        <v>45367</v>
      </c>
      <c r="M217" t="s">
        <v>24</v>
      </c>
      <c r="N217">
        <v>1027058.02</v>
      </c>
      <c r="O217" t="s">
        <v>25</v>
      </c>
      <c r="P217">
        <f>YEAR('Main DataSet'!$L217)</f>
        <v>2024</v>
      </c>
      <c r="Q217">
        <f>MONTH('Main DataSet'!$L217)</f>
        <v>3</v>
      </c>
      <c r="R217" t="str">
        <f>TEXT('Main DataSet'!$L217,"MM-YYYY")</f>
        <v>03-2024</v>
      </c>
    </row>
    <row r="218" spans="1:18" ht="15.75" customHeight="1" x14ac:dyDescent="0.2">
      <c r="A218" t="s">
        <v>522</v>
      </c>
      <c r="B218">
        <v>438809</v>
      </c>
      <c r="C218" t="s">
        <v>523</v>
      </c>
      <c r="D218">
        <v>268345748955</v>
      </c>
      <c r="E218" t="s">
        <v>28</v>
      </c>
      <c r="F218" t="s">
        <v>216</v>
      </c>
      <c r="G218" t="s">
        <v>217</v>
      </c>
      <c r="H218" t="s">
        <v>21</v>
      </c>
      <c r="I218" t="s">
        <v>48</v>
      </c>
      <c r="J218">
        <v>146930.62</v>
      </c>
      <c r="K218" t="s">
        <v>32</v>
      </c>
      <c r="L218" s="2">
        <v>45770</v>
      </c>
      <c r="M218" t="s">
        <v>24</v>
      </c>
      <c r="N218">
        <v>744892.46</v>
      </c>
      <c r="O218" t="s">
        <v>25</v>
      </c>
      <c r="P218">
        <f>YEAR('Main DataSet'!$L218)</f>
        <v>2025</v>
      </c>
      <c r="Q218">
        <f>MONTH('Main DataSet'!$L218)</f>
        <v>4</v>
      </c>
      <c r="R218" t="str">
        <f>TEXT('Main DataSet'!$L218,"MM-YYYY")</f>
        <v>04-2025</v>
      </c>
    </row>
    <row r="219" spans="1:18" ht="15.75" customHeight="1" x14ac:dyDescent="0.2">
      <c r="A219" t="s">
        <v>524</v>
      </c>
      <c r="B219">
        <v>521810</v>
      </c>
      <c r="C219" t="s">
        <v>525</v>
      </c>
      <c r="D219">
        <v>309101241276</v>
      </c>
      <c r="E219" t="s">
        <v>91</v>
      </c>
      <c r="F219" t="s">
        <v>109</v>
      </c>
      <c r="G219" t="s">
        <v>110</v>
      </c>
      <c r="H219" t="s">
        <v>67</v>
      </c>
      <c r="I219" t="s">
        <v>38</v>
      </c>
      <c r="J219">
        <v>67585.070000000007</v>
      </c>
      <c r="K219" t="s">
        <v>98</v>
      </c>
      <c r="L219" s="2">
        <v>45572</v>
      </c>
      <c r="M219" t="s">
        <v>113</v>
      </c>
      <c r="N219">
        <v>100329.61</v>
      </c>
      <c r="O219" t="s">
        <v>25</v>
      </c>
      <c r="P219">
        <f>YEAR('Main DataSet'!$L219)</f>
        <v>2024</v>
      </c>
      <c r="Q219">
        <f>MONTH('Main DataSet'!$L219)</f>
        <v>10</v>
      </c>
      <c r="R219" t="str">
        <f>TEXT('Main DataSet'!$L219,"MM-YYYY")</f>
        <v>10-2024</v>
      </c>
    </row>
    <row r="220" spans="1:18" ht="15.75" customHeight="1" x14ac:dyDescent="0.2">
      <c r="A220" t="s">
        <v>526</v>
      </c>
      <c r="B220">
        <v>727634</v>
      </c>
      <c r="C220" t="s">
        <v>527</v>
      </c>
      <c r="D220">
        <v>543364918707</v>
      </c>
      <c r="E220" t="s">
        <v>64</v>
      </c>
      <c r="F220" t="s">
        <v>177</v>
      </c>
      <c r="G220" t="s">
        <v>178</v>
      </c>
      <c r="H220" t="s">
        <v>70</v>
      </c>
      <c r="I220" t="s">
        <v>22</v>
      </c>
      <c r="J220">
        <v>72775.399999999994</v>
      </c>
      <c r="K220" t="s">
        <v>39</v>
      </c>
      <c r="L220" s="2">
        <v>45341</v>
      </c>
      <c r="M220" t="s">
        <v>24</v>
      </c>
      <c r="N220">
        <v>1528394.35</v>
      </c>
      <c r="O220" t="s">
        <v>25</v>
      </c>
      <c r="P220">
        <f>YEAR('Main DataSet'!$L220)</f>
        <v>2024</v>
      </c>
      <c r="Q220">
        <f>MONTH('Main DataSet'!$L220)</f>
        <v>2</v>
      </c>
      <c r="R220" t="str">
        <f>TEXT('Main DataSet'!$L220,"MM-YYYY")</f>
        <v>02-2024</v>
      </c>
    </row>
    <row r="221" spans="1:18" ht="15.75" customHeight="1" x14ac:dyDescent="0.2">
      <c r="A221" t="s">
        <v>528</v>
      </c>
      <c r="B221">
        <v>149140</v>
      </c>
      <c r="C221" t="s">
        <v>529</v>
      </c>
      <c r="D221">
        <v>319552688595</v>
      </c>
      <c r="E221" t="s">
        <v>18</v>
      </c>
      <c r="F221" t="s">
        <v>46</v>
      </c>
      <c r="G221" t="s">
        <v>47</v>
      </c>
      <c r="H221" t="s">
        <v>67</v>
      </c>
      <c r="I221" t="s">
        <v>38</v>
      </c>
      <c r="J221">
        <v>34703.17</v>
      </c>
      <c r="K221" t="s">
        <v>98</v>
      </c>
      <c r="L221" s="2">
        <v>45765</v>
      </c>
      <c r="M221" t="s">
        <v>24</v>
      </c>
      <c r="N221">
        <v>1244069.3400000001</v>
      </c>
      <c r="O221" t="s">
        <v>25</v>
      </c>
      <c r="P221">
        <f>YEAR('Main DataSet'!$L221)</f>
        <v>2025</v>
      </c>
      <c r="Q221">
        <f>MONTH('Main DataSet'!$L221)</f>
        <v>4</v>
      </c>
      <c r="R221" t="str">
        <f>TEXT('Main DataSet'!$L221,"MM-YYYY")</f>
        <v>04-2025</v>
      </c>
    </row>
    <row r="222" spans="1:18" ht="15.75" customHeight="1" x14ac:dyDescent="0.2">
      <c r="A222" t="s">
        <v>530</v>
      </c>
      <c r="B222">
        <v>507147</v>
      </c>
      <c r="C222" t="s">
        <v>531</v>
      </c>
      <c r="D222">
        <v>684278087022</v>
      </c>
      <c r="E222" t="s">
        <v>28</v>
      </c>
      <c r="F222" t="s">
        <v>150</v>
      </c>
      <c r="G222" t="s">
        <v>151</v>
      </c>
      <c r="H222" t="s">
        <v>70</v>
      </c>
      <c r="I222" t="s">
        <v>48</v>
      </c>
      <c r="J222">
        <v>45309.52</v>
      </c>
      <c r="K222" t="s">
        <v>49</v>
      </c>
      <c r="L222" s="2">
        <v>45300</v>
      </c>
      <c r="M222" t="s">
        <v>113</v>
      </c>
      <c r="N222">
        <v>334817.68</v>
      </c>
      <c r="O222" t="s">
        <v>25</v>
      </c>
      <c r="P222">
        <f>YEAR('Main DataSet'!$L222)</f>
        <v>2024</v>
      </c>
      <c r="Q222">
        <f>MONTH('Main DataSet'!$L222)</f>
        <v>1</v>
      </c>
      <c r="R222" t="str">
        <f>TEXT('Main DataSet'!$L222,"MM-YYYY")</f>
        <v>01-2024</v>
      </c>
    </row>
    <row r="223" spans="1:18" ht="15.75" customHeight="1" x14ac:dyDescent="0.2">
      <c r="A223" t="s">
        <v>532</v>
      </c>
      <c r="B223">
        <v>196451</v>
      </c>
      <c r="C223" t="s">
        <v>533</v>
      </c>
      <c r="D223">
        <v>789357220935</v>
      </c>
      <c r="E223" t="s">
        <v>64</v>
      </c>
      <c r="F223" t="s">
        <v>177</v>
      </c>
      <c r="G223" t="s">
        <v>178</v>
      </c>
      <c r="H223" t="s">
        <v>21</v>
      </c>
      <c r="I223" t="s">
        <v>53</v>
      </c>
      <c r="J223">
        <v>417377.31</v>
      </c>
      <c r="K223" t="s">
        <v>98</v>
      </c>
      <c r="L223" s="2">
        <v>45154</v>
      </c>
      <c r="M223" t="s">
        <v>113</v>
      </c>
      <c r="N223">
        <v>919157.55</v>
      </c>
      <c r="O223" t="s">
        <v>25</v>
      </c>
      <c r="P223">
        <f>YEAR('Main DataSet'!$L223)</f>
        <v>2023</v>
      </c>
      <c r="Q223">
        <f>MONTH('Main DataSet'!$L223)</f>
        <v>8</v>
      </c>
      <c r="R223" t="str">
        <f>TEXT('Main DataSet'!$L223,"MM-YYYY")</f>
        <v>08-2023</v>
      </c>
    </row>
    <row r="224" spans="1:18" ht="15.75" customHeight="1" x14ac:dyDescent="0.2">
      <c r="A224" t="s">
        <v>534</v>
      </c>
      <c r="B224">
        <v>881741</v>
      </c>
      <c r="C224" t="s">
        <v>535</v>
      </c>
      <c r="D224">
        <v>559502587824</v>
      </c>
      <c r="E224" t="s">
        <v>91</v>
      </c>
      <c r="F224" t="s">
        <v>130</v>
      </c>
      <c r="G224" t="s">
        <v>131</v>
      </c>
      <c r="H224" t="s">
        <v>31</v>
      </c>
      <c r="I224" t="s">
        <v>53</v>
      </c>
      <c r="J224">
        <v>236145.49</v>
      </c>
      <c r="K224" t="s">
        <v>32</v>
      </c>
      <c r="L224" s="2">
        <v>45131</v>
      </c>
      <c r="M224" t="s">
        <v>24</v>
      </c>
      <c r="N224">
        <v>1685483.16</v>
      </c>
      <c r="O224" t="s">
        <v>25</v>
      </c>
      <c r="P224">
        <f>YEAR('Main DataSet'!$L224)</f>
        <v>2023</v>
      </c>
      <c r="Q224">
        <f>MONTH('Main DataSet'!$L224)</f>
        <v>7</v>
      </c>
      <c r="R224" t="str">
        <f>TEXT('Main DataSet'!$L224,"MM-YYYY")</f>
        <v>07-2023</v>
      </c>
    </row>
    <row r="225" spans="1:18" ht="15.75" customHeight="1" x14ac:dyDescent="0.2">
      <c r="A225" t="s">
        <v>536</v>
      </c>
      <c r="B225">
        <v>441139</v>
      </c>
      <c r="C225" t="s">
        <v>537</v>
      </c>
      <c r="D225">
        <v>411549448636</v>
      </c>
      <c r="E225" t="s">
        <v>35</v>
      </c>
      <c r="F225" t="s">
        <v>42</v>
      </c>
      <c r="G225" t="s">
        <v>43</v>
      </c>
      <c r="H225" t="s">
        <v>70</v>
      </c>
      <c r="I225" t="s">
        <v>22</v>
      </c>
      <c r="J225">
        <v>414000.24</v>
      </c>
      <c r="K225" t="s">
        <v>49</v>
      </c>
      <c r="L225" s="2">
        <v>45270</v>
      </c>
      <c r="M225" t="s">
        <v>24</v>
      </c>
      <c r="N225">
        <v>1924698.42</v>
      </c>
      <c r="O225" t="s">
        <v>25</v>
      </c>
      <c r="P225">
        <f>YEAR('Main DataSet'!$L225)</f>
        <v>2023</v>
      </c>
      <c r="Q225">
        <f>MONTH('Main DataSet'!$L225)</f>
        <v>12</v>
      </c>
      <c r="R225" t="str">
        <f>TEXT('Main DataSet'!$L225,"MM-YYYY")</f>
        <v>12-2023</v>
      </c>
    </row>
    <row r="226" spans="1:18" ht="15.75" customHeight="1" x14ac:dyDescent="0.2">
      <c r="A226" t="s">
        <v>538</v>
      </c>
      <c r="B226">
        <v>265807</v>
      </c>
      <c r="C226" t="s">
        <v>539</v>
      </c>
      <c r="D226">
        <v>720641924691</v>
      </c>
      <c r="E226" t="s">
        <v>18</v>
      </c>
      <c r="F226" t="s">
        <v>46</v>
      </c>
      <c r="G226" t="s">
        <v>47</v>
      </c>
      <c r="H226" t="s">
        <v>67</v>
      </c>
      <c r="I226" t="s">
        <v>38</v>
      </c>
      <c r="J226">
        <v>40907.24</v>
      </c>
      <c r="K226" t="s">
        <v>23</v>
      </c>
      <c r="L226" s="2">
        <v>45386</v>
      </c>
      <c r="M226" t="s">
        <v>24</v>
      </c>
      <c r="N226">
        <v>284043.40999999997</v>
      </c>
      <c r="O226" t="s">
        <v>25</v>
      </c>
      <c r="P226">
        <f>YEAR('Main DataSet'!$L226)</f>
        <v>2024</v>
      </c>
      <c r="Q226">
        <f>MONTH('Main DataSet'!$L226)</f>
        <v>4</v>
      </c>
      <c r="R226" t="str">
        <f>TEXT('Main DataSet'!$L226,"MM-YYYY")</f>
        <v>04-2024</v>
      </c>
    </row>
    <row r="227" spans="1:18" ht="15.75" customHeight="1" x14ac:dyDescent="0.2">
      <c r="A227" t="s">
        <v>540</v>
      </c>
      <c r="B227">
        <v>570485</v>
      </c>
      <c r="C227" t="s">
        <v>541</v>
      </c>
      <c r="D227">
        <v>773335459822</v>
      </c>
      <c r="E227" t="s">
        <v>35</v>
      </c>
      <c r="F227" t="s">
        <v>36</v>
      </c>
      <c r="G227" t="s">
        <v>37</v>
      </c>
      <c r="H227" t="s">
        <v>67</v>
      </c>
      <c r="I227" t="s">
        <v>48</v>
      </c>
      <c r="J227">
        <v>230412.57</v>
      </c>
      <c r="K227" t="s">
        <v>39</v>
      </c>
      <c r="L227" s="2">
        <v>45612</v>
      </c>
      <c r="M227" t="s">
        <v>24</v>
      </c>
      <c r="N227">
        <v>1284629.1200000001</v>
      </c>
      <c r="O227" t="s">
        <v>25</v>
      </c>
      <c r="P227">
        <f>YEAR('Main DataSet'!$L227)</f>
        <v>2024</v>
      </c>
      <c r="Q227">
        <f>MONTH('Main DataSet'!$L227)</f>
        <v>11</v>
      </c>
      <c r="R227" t="str">
        <f>TEXT('Main DataSet'!$L227,"MM-YYYY")</f>
        <v>11-2024</v>
      </c>
    </row>
    <row r="228" spans="1:18" ht="15.75" customHeight="1" x14ac:dyDescent="0.2">
      <c r="A228" t="s">
        <v>542</v>
      </c>
      <c r="B228">
        <v>325170</v>
      </c>
      <c r="C228" t="s">
        <v>543</v>
      </c>
      <c r="D228">
        <v>356915330199</v>
      </c>
      <c r="E228" t="s">
        <v>18</v>
      </c>
      <c r="F228" t="s">
        <v>87</v>
      </c>
      <c r="G228" t="s">
        <v>88</v>
      </c>
      <c r="H228" t="s">
        <v>70</v>
      </c>
      <c r="I228" t="s">
        <v>53</v>
      </c>
      <c r="J228">
        <v>331287.71999999997</v>
      </c>
      <c r="K228" t="s">
        <v>32</v>
      </c>
      <c r="L228" s="2">
        <v>45843</v>
      </c>
      <c r="M228" t="s">
        <v>24</v>
      </c>
      <c r="N228">
        <v>1097203.82</v>
      </c>
      <c r="O228" t="s">
        <v>25</v>
      </c>
      <c r="P228">
        <f>YEAR('Main DataSet'!$L228)</f>
        <v>2025</v>
      </c>
      <c r="Q228">
        <f>MONTH('Main DataSet'!$L228)</f>
        <v>7</v>
      </c>
      <c r="R228" t="str">
        <f>TEXT('Main DataSet'!$L228,"MM-YYYY")</f>
        <v>07-2025</v>
      </c>
    </row>
    <row r="229" spans="1:18" ht="15.75" customHeight="1" x14ac:dyDescent="0.2">
      <c r="A229" t="s">
        <v>544</v>
      </c>
      <c r="B229">
        <v>533034</v>
      </c>
      <c r="C229" t="s">
        <v>545</v>
      </c>
      <c r="D229">
        <v>393607099649</v>
      </c>
      <c r="E229" t="s">
        <v>64</v>
      </c>
      <c r="F229" t="s">
        <v>177</v>
      </c>
      <c r="G229" t="s">
        <v>178</v>
      </c>
      <c r="H229" t="s">
        <v>21</v>
      </c>
      <c r="I229" t="s">
        <v>53</v>
      </c>
      <c r="J229">
        <v>206178.7</v>
      </c>
      <c r="K229" t="s">
        <v>98</v>
      </c>
      <c r="L229" s="2">
        <v>45398</v>
      </c>
      <c r="M229" t="s">
        <v>24</v>
      </c>
      <c r="N229">
        <v>1251653.83</v>
      </c>
      <c r="O229" t="s">
        <v>25</v>
      </c>
      <c r="P229">
        <f>YEAR('Main DataSet'!$L229)</f>
        <v>2024</v>
      </c>
      <c r="Q229">
        <f>MONTH('Main DataSet'!$L229)</f>
        <v>4</v>
      </c>
      <c r="R229" t="str">
        <f>TEXT('Main DataSet'!$L229,"MM-YYYY")</f>
        <v>04-2024</v>
      </c>
    </row>
    <row r="230" spans="1:18" ht="15.75" customHeight="1" x14ac:dyDescent="0.2">
      <c r="A230" t="s">
        <v>546</v>
      </c>
      <c r="B230">
        <v>677618</v>
      </c>
      <c r="C230" t="s">
        <v>547</v>
      </c>
      <c r="D230">
        <v>339400232530</v>
      </c>
      <c r="E230" t="s">
        <v>35</v>
      </c>
      <c r="F230" t="s">
        <v>136</v>
      </c>
      <c r="G230" t="s">
        <v>137</v>
      </c>
      <c r="H230" t="s">
        <v>21</v>
      </c>
      <c r="I230" t="s">
        <v>22</v>
      </c>
      <c r="J230">
        <v>590927.39</v>
      </c>
      <c r="K230" t="s">
        <v>39</v>
      </c>
      <c r="L230" s="2">
        <v>45436</v>
      </c>
      <c r="M230" t="s">
        <v>24</v>
      </c>
      <c r="N230">
        <v>852949.58000000007</v>
      </c>
      <c r="O230" t="s">
        <v>25</v>
      </c>
      <c r="P230">
        <f>YEAR('Main DataSet'!$L230)</f>
        <v>2024</v>
      </c>
      <c r="Q230">
        <f>MONTH('Main DataSet'!$L230)</f>
        <v>5</v>
      </c>
      <c r="R230" t="str">
        <f>TEXT('Main DataSet'!$L230,"MM-YYYY")</f>
        <v>05-2024</v>
      </c>
    </row>
    <row r="231" spans="1:18" ht="15.75" customHeight="1" x14ac:dyDescent="0.2">
      <c r="A231" t="s">
        <v>548</v>
      </c>
      <c r="B231">
        <v>630575</v>
      </c>
      <c r="C231" t="s">
        <v>549</v>
      </c>
      <c r="D231">
        <v>675328116160</v>
      </c>
      <c r="E231" t="s">
        <v>64</v>
      </c>
      <c r="F231" t="s">
        <v>166</v>
      </c>
      <c r="G231" t="s">
        <v>167</v>
      </c>
      <c r="H231" t="s">
        <v>70</v>
      </c>
      <c r="I231" t="s">
        <v>53</v>
      </c>
      <c r="J231">
        <v>357995.77</v>
      </c>
      <c r="K231" t="s">
        <v>98</v>
      </c>
      <c r="L231" s="2">
        <v>45660</v>
      </c>
      <c r="M231" t="s">
        <v>24</v>
      </c>
      <c r="N231">
        <v>1142710.9099999999</v>
      </c>
      <c r="O231" t="s">
        <v>25</v>
      </c>
      <c r="P231">
        <f>YEAR('Main DataSet'!$L231)</f>
        <v>2025</v>
      </c>
      <c r="Q231">
        <f>MONTH('Main DataSet'!$L231)</f>
        <v>1</v>
      </c>
      <c r="R231" t="str">
        <f>TEXT('Main DataSet'!$L231,"MM-YYYY")</f>
        <v>01-2025</v>
      </c>
    </row>
    <row r="232" spans="1:18" ht="15.75" customHeight="1" x14ac:dyDescent="0.2">
      <c r="A232" t="s">
        <v>550</v>
      </c>
      <c r="B232">
        <v>661610</v>
      </c>
      <c r="C232" t="s">
        <v>551</v>
      </c>
      <c r="D232">
        <v>636266180100</v>
      </c>
      <c r="E232" t="s">
        <v>18</v>
      </c>
      <c r="F232" t="s">
        <v>56</v>
      </c>
      <c r="G232" t="s">
        <v>57</v>
      </c>
      <c r="H232" t="s">
        <v>70</v>
      </c>
      <c r="I232" t="s">
        <v>48</v>
      </c>
      <c r="J232">
        <v>125983.99</v>
      </c>
      <c r="K232" t="s">
        <v>49</v>
      </c>
      <c r="L232" s="2">
        <v>45835</v>
      </c>
      <c r="M232" t="s">
        <v>113</v>
      </c>
      <c r="N232">
        <v>1804511.38</v>
      </c>
      <c r="O232" t="s">
        <v>25</v>
      </c>
      <c r="P232">
        <f>YEAR('Main DataSet'!$L232)</f>
        <v>2025</v>
      </c>
      <c r="Q232">
        <f>MONTH('Main DataSet'!$L232)</f>
        <v>6</v>
      </c>
      <c r="R232" t="str">
        <f>TEXT('Main DataSet'!$L232,"MM-YYYY")</f>
        <v>06-2025</v>
      </c>
    </row>
    <row r="233" spans="1:18" ht="15.75" customHeight="1" x14ac:dyDescent="0.2">
      <c r="A233" t="s">
        <v>552</v>
      </c>
      <c r="B233">
        <v>275383</v>
      </c>
      <c r="C233" t="s">
        <v>553</v>
      </c>
      <c r="D233">
        <v>349805921639</v>
      </c>
      <c r="E233" t="s">
        <v>91</v>
      </c>
      <c r="F233" t="s">
        <v>92</v>
      </c>
      <c r="G233" t="s">
        <v>93</v>
      </c>
      <c r="H233" t="s">
        <v>70</v>
      </c>
      <c r="I233" t="s">
        <v>53</v>
      </c>
      <c r="J233">
        <v>37759.040000000001</v>
      </c>
      <c r="K233" t="s">
        <v>32</v>
      </c>
      <c r="L233" s="2">
        <v>45273</v>
      </c>
      <c r="M233" t="s">
        <v>24</v>
      </c>
      <c r="N233">
        <v>1961954.36</v>
      </c>
      <c r="O233" t="s">
        <v>25</v>
      </c>
      <c r="P233">
        <f>YEAR('Main DataSet'!$L233)</f>
        <v>2023</v>
      </c>
      <c r="Q233">
        <f>MONTH('Main DataSet'!$L233)</f>
        <v>12</v>
      </c>
      <c r="R233" t="str">
        <f>TEXT('Main DataSet'!$L233,"MM-YYYY")</f>
        <v>12-2023</v>
      </c>
    </row>
    <row r="234" spans="1:18" ht="15.75" customHeight="1" x14ac:dyDescent="0.2">
      <c r="A234" t="s">
        <v>554</v>
      </c>
      <c r="B234">
        <v>674437</v>
      </c>
      <c r="C234" t="s">
        <v>555</v>
      </c>
      <c r="D234">
        <v>966380460400</v>
      </c>
      <c r="E234" t="s">
        <v>28</v>
      </c>
      <c r="F234" t="s">
        <v>216</v>
      </c>
      <c r="G234" t="s">
        <v>217</v>
      </c>
      <c r="H234" t="s">
        <v>70</v>
      </c>
      <c r="I234" t="s">
        <v>53</v>
      </c>
      <c r="J234">
        <v>470719.47</v>
      </c>
      <c r="K234" t="s">
        <v>23</v>
      </c>
      <c r="L234" s="2">
        <v>45203</v>
      </c>
      <c r="M234" t="s">
        <v>24</v>
      </c>
      <c r="N234">
        <v>1096698.1000000001</v>
      </c>
      <c r="O234" t="s">
        <v>25</v>
      </c>
      <c r="P234">
        <f>YEAR('Main DataSet'!$L234)</f>
        <v>2023</v>
      </c>
      <c r="Q234">
        <f>MONTH('Main DataSet'!$L234)</f>
        <v>10</v>
      </c>
      <c r="R234" t="str">
        <f>TEXT('Main DataSet'!$L234,"MM-YYYY")</f>
        <v>10-2023</v>
      </c>
    </row>
    <row r="235" spans="1:18" ht="15.75" customHeight="1" x14ac:dyDescent="0.2">
      <c r="A235" t="s">
        <v>556</v>
      </c>
      <c r="B235">
        <v>941406</v>
      </c>
      <c r="C235" t="s">
        <v>557</v>
      </c>
      <c r="D235">
        <v>148789252268</v>
      </c>
      <c r="E235" t="s">
        <v>64</v>
      </c>
      <c r="F235" t="s">
        <v>166</v>
      </c>
      <c r="G235" t="s">
        <v>167</v>
      </c>
      <c r="H235" t="s">
        <v>67</v>
      </c>
      <c r="I235" t="s">
        <v>48</v>
      </c>
      <c r="J235">
        <v>229396.76</v>
      </c>
      <c r="K235" t="s">
        <v>39</v>
      </c>
      <c r="L235" s="2">
        <v>45295</v>
      </c>
      <c r="M235" t="s">
        <v>24</v>
      </c>
      <c r="N235">
        <v>1119253.7</v>
      </c>
      <c r="O235" t="s">
        <v>25</v>
      </c>
      <c r="P235">
        <f>YEAR('Main DataSet'!$L235)</f>
        <v>2024</v>
      </c>
      <c r="Q235">
        <f>MONTH('Main DataSet'!$L235)</f>
        <v>1</v>
      </c>
      <c r="R235" t="str">
        <f>TEXT('Main DataSet'!$L235,"MM-YYYY")</f>
        <v>01-2024</v>
      </c>
    </row>
    <row r="236" spans="1:18" ht="15.75" customHeight="1" x14ac:dyDescent="0.2">
      <c r="A236" t="s">
        <v>558</v>
      </c>
      <c r="B236">
        <v>112063</v>
      </c>
      <c r="C236" t="s">
        <v>559</v>
      </c>
      <c r="D236">
        <v>963159668295</v>
      </c>
      <c r="E236" t="s">
        <v>91</v>
      </c>
      <c r="F236" t="s">
        <v>130</v>
      </c>
      <c r="G236" t="s">
        <v>131</v>
      </c>
      <c r="H236" t="s">
        <v>67</v>
      </c>
      <c r="I236" t="s">
        <v>48</v>
      </c>
      <c r="J236">
        <v>263052.93</v>
      </c>
      <c r="K236" t="s">
        <v>98</v>
      </c>
      <c r="L236" s="2">
        <v>45367</v>
      </c>
      <c r="M236" t="s">
        <v>168</v>
      </c>
      <c r="N236">
        <v>2010231.74</v>
      </c>
      <c r="O236" t="s">
        <v>179</v>
      </c>
      <c r="P236">
        <f>YEAR('Main DataSet'!$L236)</f>
        <v>2024</v>
      </c>
      <c r="Q236">
        <f>MONTH('Main DataSet'!$L236)</f>
        <v>3</v>
      </c>
      <c r="R236" t="str">
        <f>TEXT('Main DataSet'!$L236,"MM-YYYY")</f>
        <v>03-2024</v>
      </c>
    </row>
    <row r="237" spans="1:18" ht="15.75" customHeight="1" x14ac:dyDescent="0.2">
      <c r="A237" t="s">
        <v>560</v>
      </c>
      <c r="B237">
        <v>167371</v>
      </c>
      <c r="C237" t="s">
        <v>561</v>
      </c>
      <c r="D237">
        <v>265003686340</v>
      </c>
      <c r="E237" t="s">
        <v>35</v>
      </c>
      <c r="F237" t="s">
        <v>60</v>
      </c>
      <c r="G237" t="s">
        <v>61</v>
      </c>
      <c r="H237" t="s">
        <v>21</v>
      </c>
      <c r="I237" t="s">
        <v>53</v>
      </c>
      <c r="J237">
        <v>343900.3</v>
      </c>
      <c r="K237" t="s">
        <v>49</v>
      </c>
      <c r="L237" s="2">
        <v>45576</v>
      </c>
      <c r="M237" t="s">
        <v>168</v>
      </c>
      <c r="N237">
        <v>1451827.9</v>
      </c>
      <c r="O237" t="s">
        <v>25</v>
      </c>
      <c r="P237">
        <f>YEAR('Main DataSet'!$L237)</f>
        <v>2024</v>
      </c>
      <c r="Q237">
        <f>MONTH('Main DataSet'!$L237)</f>
        <v>10</v>
      </c>
      <c r="R237" t="str">
        <f>TEXT('Main DataSet'!$L237,"MM-YYYY")</f>
        <v>10-2024</v>
      </c>
    </row>
    <row r="238" spans="1:18" ht="15.75" customHeight="1" x14ac:dyDescent="0.2">
      <c r="A238" t="s">
        <v>562</v>
      </c>
      <c r="B238">
        <v>163530</v>
      </c>
      <c r="C238" t="s">
        <v>563</v>
      </c>
      <c r="D238">
        <v>284903006756</v>
      </c>
      <c r="E238" t="s">
        <v>28</v>
      </c>
      <c r="F238" t="s">
        <v>150</v>
      </c>
      <c r="G238" t="s">
        <v>151</v>
      </c>
      <c r="H238" t="s">
        <v>21</v>
      </c>
      <c r="I238" t="s">
        <v>53</v>
      </c>
      <c r="J238">
        <v>141940.85999999999</v>
      </c>
      <c r="K238" t="s">
        <v>23</v>
      </c>
      <c r="L238" s="2">
        <v>45844</v>
      </c>
      <c r="M238" t="s">
        <v>50</v>
      </c>
      <c r="N238">
        <v>1414350.1</v>
      </c>
      <c r="O238" t="s">
        <v>25</v>
      </c>
      <c r="P238">
        <f>YEAR('Main DataSet'!$L238)</f>
        <v>2025</v>
      </c>
      <c r="Q238">
        <f>MONTH('Main DataSet'!$L238)</f>
        <v>7</v>
      </c>
      <c r="R238" t="str">
        <f>TEXT('Main DataSet'!$L238,"MM-YYYY")</f>
        <v>07-2025</v>
      </c>
    </row>
    <row r="239" spans="1:18" ht="15.75" customHeight="1" x14ac:dyDescent="0.2">
      <c r="A239" t="s">
        <v>564</v>
      </c>
      <c r="B239">
        <v>450272</v>
      </c>
      <c r="C239" t="s">
        <v>565</v>
      </c>
      <c r="D239">
        <v>193418652788</v>
      </c>
      <c r="E239" t="s">
        <v>28</v>
      </c>
      <c r="F239" t="s">
        <v>79</v>
      </c>
      <c r="G239" t="s">
        <v>80</v>
      </c>
      <c r="H239" t="s">
        <v>70</v>
      </c>
      <c r="I239" t="s">
        <v>22</v>
      </c>
      <c r="J239">
        <v>541143.80000000005</v>
      </c>
      <c r="K239" t="s">
        <v>49</v>
      </c>
      <c r="L239" s="2">
        <v>45663</v>
      </c>
      <c r="M239" t="s">
        <v>24</v>
      </c>
      <c r="N239">
        <v>1296566.75</v>
      </c>
      <c r="O239" t="s">
        <v>25</v>
      </c>
      <c r="P239">
        <f>YEAR('Main DataSet'!$L239)</f>
        <v>2025</v>
      </c>
      <c r="Q239">
        <f>MONTH('Main DataSet'!$L239)</f>
        <v>1</v>
      </c>
      <c r="R239" t="str">
        <f>TEXT('Main DataSet'!$L239,"MM-YYYY")</f>
        <v>01-2025</v>
      </c>
    </row>
    <row r="240" spans="1:18" ht="15.75" customHeight="1" x14ac:dyDescent="0.2">
      <c r="A240" t="s">
        <v>566</v>
      </c>
      <c r="B240">
        <v>659251</v>
      </c>
      <c r="C240" t="s">
        <v>567</v>
      </c>
      <c r="D240">
        <v>431187283506</v>
      </c>
      <c r="E240" t="s">
        <v>91</v>
      </c>
      <c r="F240" t="s">
        <v>92</v>
      </c>
      <c r="G240" t="s">
        <v>93</v>
      </c>
      <c r="H240" t="s">
        <v>67</v>
      </c>
      <c r="I240" t="s">
        <v>48</v>
      </c>
      <c r="J240">
        <v>12025.06</v>
      </c>
      <c r="K240" t="s">
        <v>49</v>
      </c>
      <c r="L240" s="2">
        <v>45526</v>
      </c>
      <c r="M240" t="s">
        <v>168</v>
      </c>
      <c r="N240">
        <v>1203807.42</v>
      </c>
      <c r="O240" t="s">
        <v>25</v>
      </c>
      <c r="P240">
        <f>YEAR('Main DataSet'!$L240)</f>
        <v>2024</v>
      </c>
      <c r="Q240">
        <f>MONTH('Main DataSet'!$L240)</f>
        <v>8</v>
      </c>
      <c r="R240" t="str">
        <f>TEXT('Main DataSet'!$L240,"MM-YYYY")</f>
        <v>08-2024</v>
      </c>
    </row>
    <row r="241" spans="1:18" ht="15.75" customHeight="1" x14ac:dyDescent="0.2">
      <c r="A241" t="s">
        <v>568</v>
      </c>
      <c r="B241">
        <v>117469</v>
      </c>
      <c r="C241" t="s">
        <v>569</v>
      </c>
      <c r="D241">
        <v>145388855042</v>
      </c>
      <c r="E241" t="s">
        <v>64</v>
      </c>
      <c r="F241" t="s">
        <v>146</v>
      </c>
      <c r="G241" t="s">
        <v>147</v>
      </c>
      <c r="H241" t="s">
        <v>67</v>
      </c>
      <c r="I241" t="s">
        <v>38</v>
      </c>
      <c r="J241">
        <v>55705.38</v>
      </c>
      <c r="K241" t="s">
        <v>39</v>
      </c>
      <c r="L241" s="2">
        <v>45371</v>
      </c>
      <c r="M241" t="s">
        <v>24</v>
      </c>
      <c r="N241">
        <v>1599051.25</v>
      </c>
      <c r="O241" t="s">
        <v>25</v>
      </c>
      <c r="P241">
        <f>YEAR('Main DataSet'!$L241)</f>
        <v>2024</v>
      </c>
      <c r="Q241">
        <f>MONTH('Main DataSet'!$L241)</f>
        <v>3</v>
      </c>
      <c r="R241" t="str">
        <f>TEXT('Main DataSet'!$L241,"MM-YYYY")</f>
        <v>03-2024</v>
      </c>
    </row>
    <row r="242" spans="1:18" ht="15.75" customHeight="1" x14ac:dyDescent="0.2">
      <c r="A242" t="s">
        <v>570</v>
      </c>
      <c r="B242">
        <v>725646</v>
      </c>
      <c r="C242" t="s">
        <v>571</v>
      </c>
      <c r="D242">
        <v>509479969038</v>
      </c>
      <c r="E242" t="s">
        <v>28</v>
      </c>
      <c r="F242" t="s">
        <v>29</v>
      </c>
      <c r="G242" t="s">
        <v>30</v>
      </c>
      <c r="H242" t="s">
        <v>70</v>
      </c>
      <c r="I242" t="s">
        <v>48</v>
      </c>
      <c r="J242">
        <v>259407.8</v>
      </c>
      <c r="K242" t="s">
        <v>23</v>
      </c>
      <c r="L242" s="2">
        <v>45556</v>
      </c>
      <c r="M242" t="s">
        <v>24</v>
      </c>
      <c r="N242">
        <v>1568771.1</v>
      </c>
      <c r="O242" t="s">
        <v>25</v>
      </c>
      <c r="P242">
        <f>YEAR('Main DataSet'!$L242)</f>
        <v>2024</v>
      </c>
      <c r="Q242">
        <f>MONTH('Main DataSet'!$L242)</f>
        <v>9</v>
      </c>
      <c r="R242" t="str">
        <f>TEXT('Main DataSet'!$L242,"MM-YYYY")</f>
        <v>09-2024</v>
      </c>
    </row>
    <row r="243" spans="1:18" ht="15.75" customHeight="1" x14ac:dyDescent="0.2">
      <c r="A243" t="s">
        <v>572</v>
      </c>
      <c r="B243">
        <v>404602</v>
      </c>
      <c r="C243" t="s">
        <v>573</v>
      </c>
      <c r="D243">
        <v>580561786132</v>
      </c>
      <c r="E243" t="s">
        <v>64</v>
      </c>
      <c r="F243" t="s">
        <v>83</v>
      </c>
      <c r="G243" t="s">
        <v>84</v>
      </c>
      <c r="H243" t="s">
        <v>21</v>
      </c>
      <c r="I243" t="s">
        <v>53</v>
      </c>
      <c r="J243">
        <v>321922.8</v>
      </c>
      <c r="K243" t="s">
        <v>98</v>
      </c>
      <c r="L243" s="2">
        <v>45776</v>
      </c>
      <c r="M243" t="s">
        <v>24</v>
      </c>
      <c r="N243">
        <v>502408.24</v>
      </c>
      <c r="O243" t="s">
        <v>25</v>
      </c>
      <c r="P243">
        <f>YEAR('Main DataSet'!$L243)</f>
        <v>2025</v>
      </c>
      <c r="Q243">
        <f>MONTH('Main DataSet'!$L243)</f>
        <v>4</v>
      </c>
      <c r="R243" t="str">
        <f>TEXT('Main DataSet'!$L243,"MM-YYYY")</f>
        <v>04-2025</v>
      </c>
    </row>
    <row r="244" spans="1:18" ht="15.75" customHeight="1" x14ac:dyDescent="0.2">
      <c r="A244" t="s">
        <v>574</v>
      </c>
      <c r="B244">
        <v>725385</v>
      </c>
      <c r="C244" t="s">
        <v>575</v>
      </c>
      <c r="D244">
        <v>446588297457</v>
      </c>
      <c r="E244" t="s">
        <v>64</v>
      </c>
      <c r="F244" t="s">
        <v>65</v>
      </c>
      <c r="G244" t="s">
        <v>66</v>
      </c>
      <c r="H244" t="s">
        <v>67</v>
      </c>
      <c r="I244" t="s">
        <v>38</v>
      </c>
      <c r="J244">
        <v>136269.56</v>
      </c>
      <c r="K244" t="s">
        <v>39</v>
      </c>
      <c r="L244" s="2">
        <v>45403</v>
      </c>
      <c r="M244" t="s">
        <v>24</v>
      </c>
      <c r="N244">
        <v>995454.57999999984</v>
      </c>
      <c r="O244" t="s">
        <v>25</v>
      </c>
      <c r="P244">
        <f>YEAR('Main DataSet'!$L244)</f>
        <v>2024</v>
      </c>
      <c r="Q244">
        <f>MONTH('Main DataSet'!$L244)</f>
        <v>4</v>
      </c>
      <c r="R244" t="str">
        <f>TEXT('Main DataSet'!$L244,"MM-YYYY")</f>
        <v>04-2024</v>
      </c>
    </row>
    <row r="245" spans="1:18" ht="15.75" customHeight="1" x14ac:dyDescent="0.2">
      <c r="A245" t="s">
        <v>576</v>
      </c>
      <c r="B245">
        <v>955961</v>
      </c>
      <c r="C245" t="s">
        <v>577</v>
      </c>
      <c r="D245">
        <v>702633425078</v>
      </c>
      <c r="E245" t="s">
        <v>28</v>
      </c>
      <c r="F245" t="s">
        <v>150</v>
      </c>
      <c r="G245" t="s">
        <v>151</v>
      </c>
      <c r="H245" t="s">
        <v>70</v>
      </c>
      <c r="I245" t="s">
        <v>48</v>
      </c>
      <c r="J245">
        <v>75538.210000000006</v>
      </c>
      <c r="K245" t="s">
        <v>32</v>
      </c>
      <c r="L245" s="2">
        <v>45249</v>
      </c>
      <c r="M245" t="s">
        <v>24</v>
      </c>
      <c r="N245">
        <v>328211.21000000002</v>
      </c>
      <c r="O245" t="s">
        <v>25</v>
      </c>
      <c r="P245">
        <f>YEAR('Main DataSet'!$L245)</f>
        <v>2023</v>
      </c>
      <c r="Q245">
        <f>MONTH('Main DataSet'!$L245)</f>
        <v>11</v>
      </c>
      <c r="R245" t="str">
        <f>TEXT('Main DataSet'!$L245,"MM-YYYY")</f>
        <v>11-2023</v>
      </c>
    </row>
    <row r="246" spans="1:18" ht="15.75" customHeight="1" x14ac:dyDescent="0.2">
      <c r="A246" t="s">
        <v>578</v>
      </c>
      <c r="B246">
        <v>842640</v>
      </c>
      <c r="C246" t="s">
        <v>579</v>
      </c>
      <c r="D246">
        <v>380872047716</v>
      </c>
      <c r="E246" t="s">
        <v>28</v>
      </c>
      <c r="F246" t="s">
        <v>29</v>
      </c>
      <c r="G246" t="s">
        <v>30</v>
      </c>
      <c r="H246" t="s">
        <v>21</v>
      </c>
      <c r="I246" t="s">
        <v>48</v>
      </c>
      <c r="J246">
        <v>153277.59</v>
      </c>
      <c r="K246" t="s">
        <v>23</v>
      </c>
      <c r="L246" s="2">
        <v>45744</v>
      </c>
      <c r="M246" t="s">
        <v>50</v>
      </c>
      <c r="N246">
        <v>1216224.52</v>
      </c>
      <c r="O246" t="s">
        <v>25</v>
      </c>
      <c r="P246">
        <f>YEAR('Main DataSet'!$L246)</f>
        <v>2025</v>
      </c>
      <c r="Q246">
        <f>MONTH('Main DataSet'!$L246)</f>
        <v>3</v>
      </c>
      <c r="R246" t="str">
        <f>TEXT('Main DataSet'!$L246,"MM-YYYY")</f>
        <v>03-2025</v>
      </c>
    </row>
    <row r="247" spans="1:18" ht="15.75" customHeight="1" x14ac:dyDescent="0.2">
      <c r="A247" t="s">
        <v>580</v>
      </c>
      <c r="B247">
        <v>658891</v>
      </c>
      <c r="C247" t="s">
        <v>581</v>
      </c>
      <c r="D247">
        <v>714751372463</v>
      </c>
      <c r="E247" t="s">
        <v>35</v>
      </c>
      <c r="F247" t="s">
        <v>73</v>
      </c>
      <c r="G247" t="s">
        <v>74</v>
      </c>
      <c r="H247" t="s">
        <v>31</v>
      </c>
      <c r="I247" t="s">
        <v>22</v>
      </c>
      <c r="J247">
        <v>218521.3</v>
      </c>
      <c r="K247" t="s">
        <v>32</v>
      </c>
      <c r="L247" s="2">
        <v>45795</v>
      </c>
      <c r="M247" t="s">
        <v>24</v>
      </c>
      <c r="N247">
        <v>963128.35000000009</v>
      </c>
      <c r="O247" t="s">
        <v>25</v>
      </c>
      <c r="P247">
        <f>YEAR('Main DataSet'!$L247)</f>
        <v>2025</v>
      </c>
      <c r="Q247">
        <f>MONTH('Main DataSet'!$L247)</f>
        <v>5</v>
      </c>
      <c r="R247" t="str">
        <f>TEXT('Main DataSet'!$L247,"MM-YYYY")</f>
        <v>05-2025</v>
      </c>
    </row>
    <row r="248" spans="1:18" ht="15.75" customHeight="1" x14ac:dyDescent="0.2">
      <c r="A248" t="s">
        <v>582</v>
      </c>
      <c r="B248">
        <v>760603</v>
      </c>
      <c r="C248" t="s">
        <v>583</v>
      </c>
      <c r="D248">
        <v>138839456678</v>
      </c>
      <c r="E248" t="s">
        <v>35</v>
      </c>
      <c r="F248" t="s">
        <v>60</v>
      </c>
      <c r="G248" t="s">
        <v>61</v>
      </c>
      <c r="H248" t="s">
        <v>70</v>
      </c>
      <c r="I248" t="s">
        <v>48</v>
      </c>
      <c r="J248">
        <v>217272.91</v>
      </c>
      <c r="K248" t="s">
        <v>98</v>
      </c>
      <c r="L248" s="2">
        <v>45609</v>
      </c>
      <c r="M248" t="s">
        <v>24</v>
      </c>
      <c r="N248">
        <v>2206115.66</v>
      </c>
      <c r="O248" t="s">
        <v>25</v>
      </c>
      <c r="P248">
        <f>YEAR('Main DataSet'!$L248)</f>
        <v>2024</v>
      </c>
      <c r="Q248">
        <f>MONTH('Main DataSet'!$L248)</f>
        <v>11</v>
      </c>
      <c r="R248" t="str">
        <f>TEXT('Main DataSet'!$L248,"MM-YYYY")</f>
        <v>11-2024</v>
      </c>
    </row>
    <row r="249" spans="1:18" ht="15.75" customHeight="1" x14ac:dyDescent="0.2">
      <c r="A249" t="s">
        <v>584</v>
      </c>
      <c r="B249">
        <v>433063</v>
      </c>
      <c r="C249" t="s">
        <v>585</v>
      </c>
      <c r="D249">
        <v>288046549982</v>
      </c>
      <c r="E249" t="s">
        <v>64</v>
      </c>
      <c r="F249" t="s">
        <v>177</v>
      </c>
      <c r="G249" t="s">
        <v>178</v>
      </c>
      <c r="H249" t="s">
        <v>67</v>
      </c>
      <c r="I249" t="s">
        <v>22</v>
      </c>
      <c r="J249">
        <v>143368.07999999999</v>
      </c>
      <c r="K249" t="s">
        <v>49</v>
      </c>
      <c r="L249" s="2">
        <v>45170</v>
      </c>
      <c r="M249" t="s">
        <v>24</v>
      </c>
      <c r="N249">
        <v>1521366.68</v>
      </c>
      <c r="O249" t="s">
        <v>25</v>
      </c>
      <c r="P249">
        <f>YEAR('Main DataSet'!$L249)</f>
        <v>2023</v>
      </c>
      <c r="Q249">
        <f>MONTH('Main DataSet'!$L249)</f>
        <v>9</v>
      </c>
      <c r="R249" t="str">
        <f>TEXT('Main DataSet'!$L249,"MM-YYYY")</f>
        <v>09-2023</v>
      </c>
    </row>
    <row r="250" spans="1:18" ht="15.75" customHeight="1" x14ac:dyDescent="0.2">
      <c r="A250" t="s">
        <v>586</v>
      </c>
      <c r="B250">
        <v>672763</v>
      </c>
      <c r="C250" t="s">
        <v>587</v>
      </c>
      <c r="D250">
        <v>387905519517</v>
      </c>
      <c r="E250" t="s">
        <v>64</v>
      </c>
      <c r="F250" t="s">
        <v>166</v>
      </c>
      <c r="G250" t="s">
        <v>167</v>
      </c>
      <c r="H250" t="s">
        <v>21</v>
      </c>
      <c r="I250" t="s">
        <v>38</v>
      </c>
      <c r="J250">
        <v>130031.31</v>
      </c>
      <c r="K250" t="s">
        <v>23</v>
      </c>
      <c r="L250" s="2">
        <v>45619</v>
      </c>
      <c r="M250" t="s">
        <v>24</v>
      </c>
      <c r="N250">
        <v>429077.61</v>
      </c>
      <c r="O250" t="s">
        <v>25</v>
      </c>
      <c r="P250">
        <f>YEAR('Main DataSet'!$L250)</f>
        <v>2024</v>
      </c>
      <c r="Q250">
        <f>MONTH('Main DataSet'!$L250)</f>
        <v>11</v>
      </c>
      <c r="R250" t="str">
        <f>TEXT('Main DataSet'!$L250,"MM-YYYY")</f>
        <v>11-2024</v>
      </c>
    </row>
    <row r="251" spans="1:18" ht="15.75" customHeight="1" x14ac:dyDescent="0.2">
      <c r="A251" t="s">
        <v>588</v>
      </c>
      <c r="B251">
        <v>833709</v>
      </c>
      <c r="C251" t="s">
        <v>589</v>
      </c>
      <c r="D251">
        <v>195214730525</v>
      </c>
      <c r="E251" t="s">
        <v>35</v>
      </c>
      <c r="F251" t="s">
        <v>73</v>
      </c>
      <c r="G251" t="s">
        <v>74</v>
      </c>
      <c r="H251" t="s">
        <v>21</v>
      </c>
      <c r="I251" t="s">
        <v>22</v>
      </c>
      <c r="J251">
        <v>376737.14</v>
      </c>
      <c r="K251" t="s">
        <v>49</v>
      </c>
      <c r="L251" s="2">
        <v>45560</v>
      </c>
      <c r="M251" t="s">
        <v>24</v>
      </c>
      <c r="N251">
        <v>2046300.22</v>
      </c>
      <c r="O251" t="s">
        <v>25</v>
      </c>
      <c r="P251">
        <f>YEAR('Main DataSet'!$L251)</f>
        <v>2024</v>
      </c>
      <c r="Q251">
        <f>MONTH('Main DataSet'!$L251)</f>
        <v>9</v>
      </c>
      <c r="R251" t="str">
        <f>TEXT('Main DataSet'!$L251,"MM-YYYY")</f>
        <v>09-2024</v>
      </c>
    </row>
    <row r="252" spans="1:18" ht="15.75" customHeight="1" x14ac:dyDescent="0.2">
      <c r="A252" t="s">
        <v>590</v>
      </c>
      <c r="B252">
        <v>730030</v>
      </c>
      <c r="C252" t="s">
        <v>591</v>
      </c>
      <c r="D252">
        <v>937325765058</v>
      </c>
      <c r="E252" t="s">
        <v>35</v>
      </c>
      <c r="F252" t="s">
        <v>60</v>
      </c>
      <c r="G252" t="s">
        <v>61</v>
      </c>
      <c r="H252" t="s">
        <v>31</v>
      </c>
      <c r="I252" t="s">
        <v>48</v>
      </c>
      <c r="J252">
        <v>32866.42</v>
      </c>
      <c r="K252" t="s">
        <v>98</v>
      </c>
      <c r="L252" s="2">
        <v>45481</v>
      </c>
      <c r="M252" t="s">
        <v>24</v>
      </c>
      <c r="N252">
        <v>1682102.9</v>
      </c>
      <c r="O252" t="s">
        <v>25</v>
      </c>
      <c r="P252">
        <f>YEAR('Main DataSet'!$L252)</f>
        <v>2024</v>
      </c>
      <c r="Q252">
        <f>MONTH('Main DataSet'!$L252)</f>
        <v>7</v>
      </c>
      <c r="R252" t="str">
        <f>TEXT('Main DataSet'!$L252,"MM-YYYY")</f>
        <v>07-2024</v>
      </c>
    </row>
    <row r="253" spans="1:18" ht="15.75" customHeight="1" x14ac:dyDescent="0.2">
      <c r="A253" t="s">
        <v>592</v>
      </c>
      <c r="B253">
        <v>973241</v>
      </c>
      <c r="C253" t="s">
        <v>593</v>
      </c>
      <c r="D253">
        <v>387860643996</v>
      </c>
      <c r="E253" t="s">
        <v>18</v>
      </c>
      <c r="F253" t="s">
        <v>19</v>
      </c>
      <c r="G253" t="s">
        <v>20</v>
      </c>
      <c r="H253" t="s">
        <v>21</v>
      </c>
      <c r="I253" t="s">
        <v>38</v>
      </c>
      <c r="J253">
        <v>7697.03</v>
      </c>
      <c r="K253" t="s">
        <v>49</v>
      </c>
      <c r="L253" s="2">
        <v>45414</v>
      </c>
      <c r="M253" t="s">
        <v>24</v>
      </c>
      <c r="N253">
        <v>1549364.71</v>
      </c>
      <c r="O253" t="s">
        <v>25</v>
      </c>
      <c r="P253">
        <f>YEAR('Main DataSet'!$L253)</f>
        <v>2024</v>
      </c>
      <c r="Q253">
        <f>MONTH('Main DataSet'!$L253)</f>
        <v>5</v>
      </c>
      <c r="R253" t="str">
        <f>TEXT('Main DataSet'!$L253,"MM-YYYY")</f>
        <v>05-2024</v>
      </c>
    </row>
    <row r="254" spans="1:18" ht="15.75" customHeight="1" x14ac:dyDescent="0.2">
      <c r="A254" t="s">
        <v>594</v>
      </c>
      <c r="B254">
        <v>700274</v>
      </c>
      <c r="C254" t="s">
        <v>595</v>
      </c>
      <c r="D254">
        <v>780371569610</v>
      </c>
      <c r="E254" t="s">
        <v>18</v>
      </c>
      <c r="F254" t="s">
        <v>19</v>
      </c>
      <c r="G254" t="s">
        <v>20</v>
      </c>
      <c r="H254" t="s">
        <v>70</v>
      </c>
      <c r="I254" t="s">
        <v>38</v>
      </c>
      <c r="J254">
        <v>131363.76999999999</v>
      </c>
      <c r="K254" t="s">
        <v>23</v>
      </c>
      <c r="L254" s="2">
        <v>45118</v>
      </c>
      <c r="M254" t="s">
        <v>50</v>
      </c>
      <c r="N254">
        <v>1790482.77</v>
      </c>
      <c r="O254" t="s">
        <v>25</v>
      </c>
      <c r="P254">
        <f>YEAR('Main DataSet'!$L254)</f>
        <v>2023</v>
      </c>
      <c r="Q254">
        <f>MONTH('Main DataSet'!$L254)</f>
        <v>7</v>
      </c>
      <c r="R254" t="str">
        <f>TEXT('Main DataSet'!$L254,"MM-YYYY")</f>
        <v>07-2023</v>
      </c>
    </row>
    <row r="255" spans="1:18" ht="15.75" customHeight="1" x14ac:dyDescent="0.2">
      <c r="A255" t="s">
        <v>596</v>
      </c>
      <c r="B255">
        <v>585434</v>
      </c>
      <c r="C255" t="s">
        <v>597</v>
      </c>
      <c r="D255">
        <v>422791292913</v>
      </c>
      <c r="E255" t="s">
        <v>91</v>
      </c>
      <c r="F255" t="s">
        <v>109</v>
      </c>
      <c r="G255" t="s">
        <v>110</v>
      </c>
      <c r="H255" t="s">
        <v>70</v>
      </c>
      <c r="I255" t="s">
        <v>48</v>
      </c>
      <c r="J255">
        <v>197351.19</v>
      </c>
      <c r="K255" t="s">
        <v>23</v>
      </c>
      <c r="L255" s="2">
        <v>45413</v>
      </c>
      <c r="M255" t="s">
        <v>24</v>
      </c>
      <c r="N255">
        <v>735561.71</v>
      </c>
      <c r="O255" t="s">
        <v>25</v>
      </c>
      <c r="P255">
        <f>YEAR('Main DataSet'!$L255)</f>
        <v>2024</v>
      </c>
      <c r="Q255">
        <f>MONTH('Main DataSet'!$L255)</f>
        <v>5</v>
      </c>
      <c r="R255" t="str">
        <f>TEXT('Main DataSet'!$L255,"MM-YYYY")</f>
        <v>05-2024</v>
      </c>
    </row>
    <row r="256" spans="1:18" ht="15.75" customHeight="1" x14ac:dyDescent="0.2">
      <c r="A256" t="s">
        <v>598</v>
      </c>
      <c r="B256">
        <v>709387</v>
      </c>
      <c r="C256" t="s">
        <v>599</v>
      </c>
      <c r="D256">
        <v>685617653836</v>
      </c>
      <c r="E256" t="s">
        <v>18</v>
      </c>
      <c r="F256" t="s">
        <v>19</v>
      </c>
      <c r="G256" t="s">
        <v>20</v>
      </c>
      <c r="H256" t="s">
        <v>21</v>
      </c>
      <c r="I256" t="s">
        <v>38</v>
      </c>
      <c r="J256">
        <v>116639.17</v>
      </c>
      <c r="K256" t="s">
        <v>49</v>
      </c>
      <c r="L256" s="2">
        <v>45416</v>
      </c>
      <c r="M256" t="s">
        <v>24</v>
      </c>
      <c r="N256">
        <v>583495.13</v>
      </c>
      <c r="O256" t="s">
        <v>25</v>
      </c>
      <c r="P256">
        <f>YEAR('Main DataSet'!$L256)</f>
        <v>2024</v>
      </c>
      <c r="Q256">
        <f>MONTH('Main DataSet'!$L256)</f>
        <v>5</v>
      </c>
      <c r="R256" t="str">
        <f>TEXT('Main DataSet'!$L256,"MM-YYYY")</f>
        <v>05-2024</v>
      </c>
    </row>
    <row r="257" spans="1:18" ht="15.75" customHeight="1" x14ac:dyDescent="0.2">
      <c r="A257" t="s">
        <v>600</v>
      </c>
      <c r="B257">
        <v>545452</v>
      </c>
      <c r="C257" t="s">
        <v>601</v>
      </c>
      <c r="D257">
        <v>869888869752</v>
      </c>
      <c r="E257" t="s">
        <v>35</v>
      </c>
      <c r="F257" t="s">
        <v>136</v>
      </c>
      <c r="G257" t="s">
        <v>137</v>
      </c>
      <c r="H257" t="s">
        <v>21</v>
      </c>
      <c r="I257" t="s">
        <v>48</v>
      </c>
      <c r="J257">
        <v>79661.36</v>
      </c>
      <c r="K257" t="s">
        <v>23</v>
      </c>
      <c r="L257" s="2">
        <v>45577</v>
      </c>
      <c r="M257" t="s">
        <v>24</v>
      </c>
      <c r="N257">
        <v>810409.84</v>
      </c>
      <c r="O257" t="s">
        <v>25</v>
      </c>
      <c r="P257">
        <f>YEAR('Main DataSet'!$L257)</f>
        <v>2024</v>
      </c>
      <c r="Q257">
        <f>MONTH('Main DataSet'!$L257)</f>
        <v>10</v>
      </c>
      <c r="R257" t="str">
        <f>TEXT('Main DataSet'!$L257,"MM-YYYY")</f>
        <v>10-2024</v>
      </c>
    </row>
    <row r="258" spans="1:18" ht="15.75" customHeight="1" x14ac:dyDescent="0.2">
      <c r="A258" t="s">
        <v>602</v>
      </c>
      <c r="B258">
        <v>809306</v>
      </c>
      <c r="C258" t="s">
        <v>603</v>
      </c>
      <c r="D258">
        <v>317906843145</v>
      </c>
      <c r="E258" t="s">
        <v>35</v>
      </c>
      <c r="F258" t="s">
        <v>42</v>
      </c>
      <c r="G258" t="s">
        <v>43</v>
      </c>
      <c r="H258" t="s">
        <v>67</v>
      </c>
      <c r="I258" t="s">
        <v>38</v>
      </c>
      <c r="J258">
        <v>75168.06</v>
      </c>
      <c r="K258" t="s">
        <v>49</v>
      </c>
      <c r="L258" s="2">
        <v>45551</v>
      </c>
      <c r="M258" t="s">
        <v>24</v>
      </c>
      <c r="N258">
        <v>45789.930000000008</v>
      </c>
      <c r="O258" t="s">
        <v>25</v>
      </c>
      <c r="P258">
        <f>YEAR('Main DataSet'!$L258)</f>
        <v>2024</v>
      </c>
      <c r="Q258">
        <f>MONTH('Main DataSet'!$L258)</f>
        <v>9</v>
      </c>
      <c r="R258" t="str">
        <f>TEXT('Main DataSet'!$L258,"MM-YYYY")</f>
        <v>09-2024</v>
      </c>
    </row>
    <row r="259" spans="1:18" ht="15.75" customHeight="1" x14ac:dyDescent="0.2">
      <c r="A259" t="s">
        <v>604</v>
      </c>
      <c r="B259">
        <v>411009</v>
      </c>
      <c r="C259" t="s">
        <v>605</v>
      </c>
      <c r="D259">
        <v>746074720789</v>
      </c>
      <c r="E259" t="s">
        <v>64</v>
      </c>
      <c r="F259" t="s">
        <v>177</v>
      </c>
      <c r="G259" t="s">
        <v>178</v>
      </c>
      <c r="H259" t="s">
        <v>31</v>
      </c>
      <c r="I259" t="s">
        <v>48</v>
      </c>
      <c r="J259">
        <v>129733.4</v>
      </c>
      <c r="K259" t="s">
        <v>32</v>
      </c>
      <c r="L259" s="2">
        <v>45252</v>
      </c>
      <c r="M259" t="s">
        <v>24</v>
      </c>
      <c r="N259">
        <v>872645.98</v>
      </c>
      <c r="O259" t="s">
        <v>25</v>
      </c>
      <c r="P259">
        <f>YEAR('Main DataSet'!$L259)</f>
        <v>2023</v>
      </c>
      <c r="Q259">
        <f>MONTH('Main DataSet'!$L259)</f>
        <v>11</v>
      </c>
      <c r="R259" t="str">
        <f>TEXT('Main DataSet'!$L259,"MM-YYYY")</f>
        <v>11-2023</v>
      </c>
    </row>
    <row r="260" spans="1:18" ht="15.75" customHeight="1" x14ac:dyDescent="0.2">
      <c r="A260" t="s">
        <v>606</v>
      </c>
      <c r="B260">
        <v>704096</v>
      </c>
      <c r="C260" t="s">
        <v>607</v>
      </c>
      <c r="D260">
        <v>801626913319</v>
      </c>
      <c r="E260" t="s">
        <v>91</v>
      </c>
      <c r="F260" t="s">
        <v>105</v>
      </c>
      <c r="G260" t="s">
        <v>106</v>
      </c>
      <c r="H260" t="s">
        <v>70</v>
      </c>
      <c r="I260" t="s">
        <v>53</v>
      </c>
      <c r="J260">
        <v>59283.4</v>
      </c>
      <c r="K260" t="s">
        <v>98</v>
      </c>
      <c r="L260" s="2">
        <v>45602</v>
      </c>
      <c r="M260" t="s">
        <v>24</v>
      </c>
      <c r="N260">
        <v>698051.12</v>
      </c>
      <c r="O260" t="s">
        <v>25</v>
      </c>
      <c r="P260">
        <f>YEAR('Main DataSet'!$L260)</f>
        <v>2024</v>
      </c>
      <c r="Q260">
        <f>MONTH('Main DataSet'!$L260)</f>
        <v>11</v>
      </c>
      <c r="R260" t="str">
        <f>TEXT('Main DataSet'!$L260,"MM-YYYY")</f>
        <v>11-2024</v>
      </c>
    </row>
    <row r="261" spans="1:18" ht="15.75" customHeight="1" x14ac:dyDescent="0.2">
      <c r="A261" t="s">
        <v>608</v>
      </c>
      <c r="B261">
        <v>430975</v>
      </c>
      <c r="C261" t="s">
        <v>609</v>
      </c>
      <c r="D261">
        <v>552928908176</v>
      </c>
      <c r="E261" t="s">
        <v>35</v>
      </c>
      <c r="F261" t="s">
        <v>36</v>
      </c>
      <c r="G261" t="s">
        <v>37</v>
      </c>
      <c r="H261" t="s">
        <v>67</v>
      </c>
      <c r="I261" t="s">
        <v>48</v>
      </c>
      <c r="J261">
        <v>157373.9</v>
      </c>
      <c r="K261" t="s">
        <v>98</v>
      </c>
      <c r="L261" s="2">
        <v>45240</v>
      </c>
      <c r="M261" t="s">
        <v>168</v>
      </c>
      <c r="N261">
        <v>519917.55</v>
      </c>
      <c r="O261" t="s">
        <v>25</v>
      </c>
      <c r="P261">
        <f>YEAR('Main DataSet'!$L261)</f>
        <v>2023</v>
      </c>
      <c r="Q261">
        <f>MONTH('Main DataSet'!$L261)</f>
        <v>11</v>
      </c>
      <c r="R261" t="str">
        <f>TEXT('Main DataSet'!$L261,"MM-YYYY")</f>
        <v>11-2023</v>
      </c>
    </row>
    <row r="262" spans="1:18" ht="15.75" customHeight="1" x14ac:dyDescent="0.2">
      <c r="A262" t="s">
        <v>610</v>
      </c>
      <c r="B262">
        <v>675778</v>
      </c>
      <c r="C262" t="s">
        <v>611</v>
      </c>
      <c r="D262">
        <v>825799561602</v>
      </c>
      <c r="E262" t="s">
        <v>35</v>
      </c>
      <c r="F262" t="s">
        <v>42</v>
      </c>
      <c r="G262" t="s">
        <v>43</v>
      </c>
      <c r="H262" t="s">
        <v>70</v>
      </c>
      <c r="I262" t="s">
        <v>53</v>
      </c>
      <c r="J262">
        <v>395398.6</v>
      </c>
      <c r="K262" t="s">
        <v>49</v>
      </c>
      <c r="L262" s="2">
        <v>45214</v>
      </c>
      <c r="M262" t="s">
        <v>24</v>
      </c>
      <c r="N262">
        <v>1093605.24</v>
      </c>
      <c r="O262" t="s">
        <v>25</v>
      </c>
      <c r="P262">
        <f>YEAR('Main DataSet'!$L262)</f>
        <v>2023</v>
      </c>
      <c r="Q262">
        <f>MONTH('Main DataSet'!$L262)</f>
        <v>10</v>
      </c>
      <c r="R262" t="str">
        <f>TEXT('Main DataSet'!$L262,"MM-YYYY")</f>
        <v>10-2023</v>
      </c>
    </row>
    <row r="263" spans="1:18" ht="15.75" customHeight="1" x14ac:dyDescent="0.2">
      <c r="A263" t="s">
        <v>612</v>
      </c>
      <c r="B263">
        <v>103977</v>
      </c>
      <c r="C263" t="s">
        <v>613</v>
      </c>
      <c r="D263">
        <v>355613348806</v>
      </c>
      <c r="E263" t="s">
        <v>91</v>
      </c>
      <c r="F263" t="s">
        <v>92</v>
      </c>
      <c r="G263" t="s">
        <v>93</v>
      </c>
      <c r="H263" t="s">
        <v>70</v>
      </c>
      <c r="I263" t="s">
        <v>48</v>
      </c>
      <c r="J263">
        <v>92274.06</v>
      </c>
      <c r="K263" t="s">
        <v>39</v>
      </c>
      <c r="L263" s="2">
        <v>45666</v>
      </c>
      <c r="M263" t="s">
        <v>24</v>
      </c>
      <c r="N263">
        <v>1309267.04</v>
      </c>
      <c r="O263" t="s">
        <v>25</v>
      </c>
      <c r="P263">
        <f>YEAR('Main DataSet'!$L263)</f>
        <v>2025</v>
      </c>
      <c r="Q263">
        <f>MONTH('Main DataSet'!$L263)</f>
        <v>1</v>
      </c>
      <c r="R263" t="str">
        <f>TEXT('Main DataSet'!$L263,"MM-YYYY")</f>
        <v>01-2025</v>
      </c>
    </row>
    <row r="264" spans="1:18" ht="15.75" customHeight="1" x14ac:dyDescent="0.2">
      <c r="A264" t="s">
        <v>614</v>
      </c>
      <c r="B264">
        <v>749572</v>
      </c>
      <c r="C264" t="s">
        <v>615</v>
      </c>
      <c r="D264">
        <v>206600196087</v>
      </c>
      <c r="E264" t="s">
        <v>64</v>
      </c>
      <c r="F264" t="s">
        <v>83</v>
      </c>
      <c r="G264" t="s">
        <v>84</v>
      </c>
      <c r="H264" t="s">
        <v>70</v>
      </c>
      <c r="I264" t="s">
        <v>53</v>
      </c>
      <c r="J264">
        <v>199776.68</v>
      </c>
      <c r="K264" t="s">
        <v>23</v>
      </c>
      <c r="L264" s="2">
        <v>45240</v>
      </c>
      <c r="M264" t="s">
        <v>24</v>
      </c>
      <c r="N264">
        <v>1633607.23</v>
      </c>
      <c r="O264" t="s">
        <v>25</v>
      </c>
      <c r="P264">
        <f>YEAR('Main DataSet'!$L264)</f>
        <v>2023</v>
      </c>
      <c r="Q264">
        <f>MONTH('Main DataSet'!$L264)</f>
        <v>11</v>
      </c>
      <c r="R264" t="str">
        <f>TEXT('Main DataSet'!$L264,"MM-YYYY")</f>
        <v>11-2023</v>
      </c>
    </row>
    <row r="265" spans="1:18" ht="15.75" customHeight="1" x14ac:dyDescent="0.2">
      <c r="A265" t="s">
        <v>616</v>
      </c>
      <c r="B265">
        <v>563828</v>
      </c>
      <c r="C265" t="s">
        <v>617</v>
      </c>
      <c r="D265">
        <v>124054946791</v>
      </c>
      <c r="E265" t="s">
        <v>18</v>
      </c>
      <c r="F265" t="s">
        <v>46</v>
      </c>
      <c r="G265" t="s">
        <v>47</v>
      </c>
      <c r="H265" t="s">
        <v>67</v>
      </c>
      <c r="I265" t="s">
        <v>48</v>
      </c>
      <c r="J265">
        <v>284384.93</v>
      </c>
      <c r="K265" t="s">
        <v>98</v>
      </c>
      <c r="L265" s="2">
        <v>45362</v>
      </c>
      <c r="M265" t="s">
        <v>24</v>
      </c>
      <c r="N265">
        <v>840176.1399999999</v>
      </c>
      <c r="O265" t="s">
        <v>25</v>
      </c>
      <c r="P265">
        <f>YEAR('Main DataSet'!$L265)</f>
        <v>2024</v>
      </c>
      <c r="Q265">
        <f>MONTH('Main DataSet'!$L265)</f>
        <v>3</v>
      </c>
      <c r="R265" t="str">
        <f>TEXT('Main DataSet'!$L265,"MM-YYYY")</f>
        <v>03-2024</v>
      </c>
    </row>
    <row r="266" spans="1:18" ht="15.75" customHeight="1" x14ac:dyDescent="0.2">
      <c r="A266" t="s">
        <v>618</v>
      </c>
      <c r="B266">
        <v>731100</v>
      </c>
      <c r="C266" t="s">
        <v>619</v>
      </c>
      <c r="D266">
        <v>262964581056</v>
      </c>
      <c r="E266" t="s">
        <v>35</v>
      </c>
      <c r="F266" t="s">
        <v>36</v>
      </c>
      <c r="G266" t="s">
        <v>37</v>
      </c>
      <c r="H266" t="s">
        <v>21</v>
      </c>
      <c r="I266" t="s">
        <v>48</v>
      </c>
      <c r="J266">
        <v>98228.26</v>
      </c>
      <c r="K266" t="s">
        <v>39</v>
      </c>
      <c r="L266" s="2">
        <v>45327</v>
      </c>
      <c r="M266" t="s">
        <v>24</v>
      </c>
      <c r="N266">
        <v>642282.19999999995</v>
      </c>
      <c r="O266" t="s">
        <v>25</v>
      </c>
      <c r="P266">
        <f>YEAR('Main DataSet'!$L266)</f>
        <v>2024</v>
      </c>
      <c r="Q266">
        <f>MONTH('Main DataSet'!$L266)</f>
        <v>2</v>
      </c>
      <c r="R266" t="str">
        <f>TEXT('Main DataSet'!$L266,"MM-YYYY")</f>
        <v>02-2024</v>
      </c>
    </row>
    <row r="267" spans="1:18" ht="15.75" customHeight="1" x14ac:dyDescent="0.2">
      <c r="A267" t="s">
        <v>620</v>
      </c>
      <c r="B267">
        <v>156081</v>
      </c>
      <c r="C267" t="s">
        <v>621</v>
      </c>
      <c r="D267">
        <v>211489234529</v>
      </c>
      <c r="E267" t="s">
        <v>28</v>
      </c>
      <c r="F267" t="s">
        <v>192</v>
      </c>
      <c r="G267" t="s">
        <v>193</v>
      </c>
      <c r="H267" t="s">
        <v>31</v>
      </c>
      <c r="I267" t="s">
        <v>38</v>
      </c>
      <c r="J267">
        <v>115176.64</v>
      </c>
      <c r="K267" t="s">
        <v>32</v>
      </c>
      <c r="L267" s="2">
        <v>45139</v>
      </c>
      <c r="M267" t="s">
        <v>113</v>
      </c>
      <c r="N267">
        <v>1728716.25</v>
      </c>
      <c r="O267" t="s">
        <v>25</v>
      </c>
      <c r="P267">
        <f>YEAR('Main DataSet'!$L267)</f>
        <v>2023</v>
      </c>
      <c r="Q267">
        <f>MONTH('Main DataSet'!$L267)</f>
        <v>8</v>
      </c>
      <c r="R267" t="str">
        <f>TEXT('Main DataSet'!$L267,"MM-YYYY")</f>
        <v>08-2023</v>
      </c>
    </row>
    <row r="268" spans="1:18" ht="15.75" customHeight="1" x14ac:dyDescent="0.2">
      <c r="A268" t="s">
        <v>622</v>
      </c>
      <c r="B268">
        <v>776252</v>
      </c>
      <c r="C268" t="s">
        <v>623</v>
      </c>
      <c r="D268">
        <v>524989289739</v>
      </c>
      <c r="E268" t="s">
        <v>64</v>
      </c>
      <c r="F268" t="s">
        <v>146</v>
      </c>
      <c r="G268" t="s">
        <v>147</v>
      </c>
      <c r="H268" t="s">
        <v>70</v>
      </c>
      <c r="I268" t="s">
        <v>53</v>
      </c>
      <c r="J268">
        <v>466320.11</v>
      </c>
      <c r="K268" t="s">
        <v>23</v>
      </c>
      <c r="L268" s="2">
        <v>45646</v>
      </c>
      <c r="M268" t="s">
        <v>113</v>
      </c>
      <c r="N268">
        <v>1960336.41</v>
      </c>
      <c r="O268" t="s">
        <v>25</v>
      </c>
      <c r="P268">
        <f>YEAR('Main DataSet'!$L268)</f>
        <v>2024</v>
      </c>
      <c r="Q268">
        <f>MONTH('Main DataSet'!$L268)</f>
        <v>12</v>
      </c>
      <c r="R268" t="str">
        <f>TEXT('Main DataSet'!$L268,"MM-YYYY")</f>
        <v>12-2024</v>
      </c>
    </row>
    <row r="269" spans="1:18" ht="15.75" customHeight="1" x14ac:dyDescent="0.2">
      <c r="A269" t="s">
        <v>624</v>
      </c>
      <c r="B269">
        <v>139106</v>
      </c>
      <c r="C269" t="s">
        <v>625</v>
      </c>
      <c r="D269">
        <v>475832206582</v>
      </c>
      <c r="E269" t="s">
        <v>18</v>
      </c>
      <c r="F269" t="s">
        <v>46</v>
      </c>
      <c r="G269" t="s">
        <v>47</v>
      </c>
      <c r="H269" t="s">
        <v>67</v>
      </c>
      <c r="I269" t="s">
        <v>48</v>
      </c>
      <c r="J269">
        <v>200163.67</v>
      </c>
      <c r="K269" t="s">
        <v>98</v>
      </c>
      <c r="L269" s="2">
        <v>45222</v>
      </c>
      <c r="M269" t="s">
        <v>168</v>
      </c>
      <c r="N269">
        <v>415663.7</v>
      </c>
      <c r="O269" t="s">
        <v>25</v>
      </c>
      <c r="P269">
        <f>YEAR('Main DataSet'!$L269)</f>
        <v>2023</v>
      </c>
      <c r="Q269">
        <f>MONTH('Main DataSet'!$L269)</f>
        <v>10</v>
      </c>
      <c r="R269" t="str">
        <f>TEXT('Main DataSet'!$L269,"MM-YYYY")</f>
        <v>10-2023</v>
      </c>
    </row>
    <row r="270" spans="1:18" ht="15.75" customHeight="1" x14ac:dyDescent="0.2">
      <c r="A270" t="s">
        <v>626</v>
      </c>
      <c r="B270">
        <v>694119</v>
      </c>
      <c r="C270" t="s">
        <v>627</v>
      </c>
      <c r="D270">
        <v>751228513253</v>
      </c>
      <c r="E270" t="s">
        <v>64</v>
      </c>
      <c r="F270" t="s">
        <v>166</v>
      </c>
      <c r="G270" t="s">
        <v>167</v>
      </c>
      <c r="H270" t="s">
        <v>31</v>
      </c>
      <c r="I270" t="s">
        <v>48</v>
      </c>
      <c r="J270">
        <v>227121.19</v>
      </c>
      <c r="K270" t="s">
        <v>32</v>
      </c>
      <c r="L270" s="2">
        <v>45792</v>
      </c>
      <c r="M270" t="s">
        <v>24</v>
      </c>
      <c r="N270">
        <v>1348492.26</v>
      </c>
      <c r="O270" t="s">
        <v>25</v>
      </c>
      <c r="P270">
        <f>YEAR('Main DataSet'!$L270)</f>
        <v>2025</v>
      </c>
      <c r="Q270">
        <f>MONTH('Main DataSet'!$L270)</f>
        <v>5</v>
      </c>
      <c r="R270" t="str">
        <f>TEXT('Main DataSet'!$L270,"MM-YYYY")</f>
        <v>05-2025</v>
      </c>
    </row>
    <row r="271" spans="1:18" ht="15.75" customHeight="1" x14ac:dyDescent="0.2">
      <c r="A271" t="s">
        <v>628</v>
      </c>
      <c r="B271">
        <v>523970</v>
      </c>
      <c r="C271" t="s">
        <v>629</v>
      </c>
      <c r="D271">
        <v>152931021324</v>
      </c>
      <c r="E271" t="s">
        <v>18</v>
      </c>
      <c r="F271" t="s">
        <v>19</v>
      </c>
      <c r="G271" t="s">
        <v>20</v>
      </c>
      <c r="H271" t="s">
        <v>67</v>
      </c>
      <c r="I271" t="s">
        <v>53</v>
      </c>
      <c r="J271">
        <v>369861.85</v>
      </c>
      <c r="K271" t="s">
        <v>23</v>
      </c>
      <c r="L271" s="2">
        <v>45295</v>
      </c>
      <c r="M271" t="s">
        <v>50</v>
      </c>
      <c r="N271">
        <v>1630300.12</v>
      </c>
      <c r="O271" t="s">
        <v>25</v>
      </c>
      <c r="P271">
        <f>YEAR('Main DataSet'!$L271)</f>
        <v>2024</v>
      </c>
      <c r="Q271">
        <f>MONTH('Main DataSet'!$L271)</f>
        <v>1</v>
      </c>
      <c r="R271" t="str">
        <f>TEXT('Main DataSet'!$L271,"MM-YYYY")</f>
        <v>01-2024</v>
      </c>
    </row>
    <row r="272" spans="1:18" ht="15.75" customHeight="1" x14ac:dyDescent="0.2">
      <c r="A272" t="s">
        <v>630</v>
      </c>
      <c r="B272">
        <v>962182</v>
      </c>
      <c r="C272" t="s">
        <v>631</v>
      </c>
      <c r="D272">
        <v>943603317916</v>
      </c>
      <c r="E272" t="s">
        <v>18</v>
      </c>
      <c r="F272" t="s">
        <v>46</v>
      </c>
      <c r="G272" t="s">
        <v>47</v>
      </c>
      <c r="H272" t="s">
        <v>70</v>
      </c>
      <c r="I272" t="s">
        <v>22</v>
      </c>
      <c r="J272">
        <v>381535.21</v>
      </c>
      <c r="K272" t="s">
        <v>32</v>
      </c>
      <c r="L272" s="2">
        <v>45698</v>
      </c>
      <c r="M272" t="s">
        <v>24</v>
      </c>
      <c r="N272">
        <v>1014653.83</v>
      </c>
      <c r="O272" t="s">
        <v>25</v>
      </c>
      <c r="P272">
        <f>YEAR('Main DataSet'!$L272)</f>
        <v>2025</v>
      </c>
      <c r="Q272">
        <f>MONTH('Main DataSet'!$L272)</f>
        <v>2</v>
      </c>
      <c r="R272" t="str">
        <f>TEXT('Main DataSet'!$L272,"MM-YYYY")</f>
        <v>02-2025</v>
      </c>
    </row>
    <row r="273" spans="1:18" ht="15.75" customHeight="1" x14ac:dyDescent="0.2">
      <c r="A273" t="s">
        <v>632</v>
      </c>
      <c r="B273">
        <v>780928</v>
      </c>
      <c r="C273" t="s">
        <v>633</v>
      </c>
      <c r="D273">
        <v>491219042136</v>
      </c>
      <c r="E273" t="s">
        <v>35</v>
      </c>
      <c r="F273" t="s">
        <v>60</v>
      </c>
      <c r="G273" t="s">
        <v>61</v>
      </c>
      <c r="H273" t="s">
        <v>70</v>
      </c>
      <c r="I273" t="s">
        <v>38</v>
      </c>
      <c r="J273">
        <v>4845.92</v>
      </c>
      <c r="K273" t="s">
        <v>49</v>
      </c>
      <c r="L273" s="2">
        <v>45161</v>
      </c>
      <c r="M273" t="s">
        <v>24</v>
      </c>
      <c r="N273">
        <v>1977987.89</v>
      </c>
      <c r="O273" t="s">
        <v>25</v>
      </c>
      <c r="P273">
        <f>YEAR('Main DataSet'!$L273)</f>
        <v>2023</v>
      </c>
      <c r="Q273">
        <f>MONTH('Main DataSet'!$L273)</f>
        <v>8</v>
      </c>
      <c r="R273" t="str">
        <f>TEXT('Main DataSet'!$L273,"MM-YYYY")</f>
        <v>08-2023</v>
      </c>
    </row>
    <row r="274" spans="1:18" ht="15.75" customHeight="1" x14ac:dyDescent="0.2">
      <c r="A274" t="s">
        <v>634</v>
      </c>
      <c r="B274">
        <v>421539</v>
      </c>
      <c r="C274" t="s">
        <v>635</v>
      </c>
      <c r="D274">
        <v>298594864896</v>
      </c>
      <c r="E274" t="s">
        <v>64</v>
      </c>
      <c r="F274" t="s">
        <v>83</v>
      </c>
      <c r="G274" t="s">
        <v>84</v>
      </c>
      <c r="H274" t="s">
        <v>67</v>
      </c>
      <c r="I274" t="s">
        <v>48</v>
      </c>
      <c r="J274">
        <v>205821.35</v>
      </c>
      <c r="K274" t="s">
        <v>23</v>
      </c>
      <c r="L274" s="2">
        <v>45757</v>
      </c>
      <c r="M274" t="s">
        <v>24</v>
      </c>
      <c r="N274">
        <v>1206544.3400000001</v>
      </c>
      <c r="O274" t="s">
        <v>25</v>
      </c>
      <c r="P274">
        <f>YEAR('Main DataSet'!$L274)</f>
        <v>2025</v>
      </c>
      <c r="Q274">
        <f>MONTH('Main DataSet'!$L274)</f>
        <v>4</v>
      </c>
      <c r="R274" t="str">
        <f>TEXT('Main DataSet'!$L274,"MM-YYYY")</f>
        <v>04-2025</v>
      </c>
    </row>
    <row r="275" spans="1:18" ht="15.75" customHeight="1" x14ac:dyDescent="0.2">
      <c r="A275" t="s">
        <v>636</v>
      </c>
      <c r="B275">
        <v>826365</v>
      </c>
      <c r="C275" t="s">
        <v>637</v>
      </c>
      <c r="D275">
        <v>497519884299</v>
      </c>
      <c r="E275" t="s">
        <v>18</v>
      </c>
      <c r="F275" t="s">
        <v>156</v>
      </c>
      <c r="G275" t="s">
        <v>157</v>
      </c>
      <c r="H275" t="s">
        <v>21</v>
      </c>
      <c r="I275" t="s">
        <v>22</v>
      </c>
      <c r="J275">
        <v>193788.6</v>
      </c>
      <c r="K275" t="s">
        <v>98</v>
      </c>
      <c r="L275" s="2">
        <v>45402</v>
      </c>
      <c r="M275" t="s">
        <v>24</v>
      </c>
      <c r="N275">
        <v>1163250.32</v>
      </c>
      <c r="O275" t="s">
        <v>25</v>
      </c>
      <c r="P275">
        <f>YEAR('Main DataSet'!$L275)</f>
        <v>2024</v>
      </c>
      <c r="Q275">
        <f>MONTH('Main DataSet'!$L275)</f>
        <v>4</v>
      </c>
      <c r="R275" t="str">
        <f>TEXT('Main DataSet'!$L275,"MM-YYYY")</f>
        <v>04-2024</v>
      </c>
    </row>
    <row r="276" spans="1:18" ht="15.75" customHeight="1" x14ac:dyDescent="0.2">
      <c r="A276" t="s">
        <v>638</v>
      </c>
      <c r="B276">
        <v>579900</v>
      </c>
      <c r="C276" t="s">
        <v>639</v>
      </c>
      <c r="D276">
        <v>201644180608</v>
      </c>
      <c r="E276" t="s">
        <v>28</v>
      </c>
      <c r="F276" t="s">
        <v>150</v>
      </c>
      <c r="G276" t="s">
        <v>151</v>
      </c>
      <c r="H276" t="s">
        <v>67</v>
      </c>
      <c r="I276" t="s">
        <v>38</v>
      </c>
      <c r="J276">
        <v>126460.13</v>
      </c>
      <c r="K276" t="s">
        <v>32</v>
      </c>
      <c r="L276" s="2">
        <v>45690</v>
      </c>
      <c r="M276" t="s">
        <v>24</v>
      </c>
      <c r="N276">
        <v>1739088.85</v>
      </c>
      <c r="O276" t="s">
        <v>25</v>
      </c>
      <c r="P276">
        <f>YEAR('Main DataSet'!$L276)</f>
        <v>2025</v>
      </c>
      <c r="Q276">
        <f>MONTH('Main DataSet'!$L276)</f>
        <v>2</v>
      </c>
      <c r="R276" t="str">
        <f>TEXT('Main DataSet'!$L276,"MM-YYYY")</f>
        <v>02-2025</v>
      </c>
    </row>
    <row r="277" spans="1:18" ht="15.75" customHeight="1" x14ac:dyDescent="0.2">
      <c r="A277" t="s">
        <v>640</v>
      </c>
      <c r="B277">
        <v>792044</v>
      </c>
      <c r="C277" t="s">
        <v>641</v>
      </c>
      <c r="D277">
        <v>608496244258</v>
      </c>
      <c r="E277" t="s">
        <v>64</v>
      </c>
      <c r="F277" t="s">
        <v>177</v>
      </c>
      <c r="G277" t="s">
        <v>178</v>
      </c>
      <c r="H277" t="s">
        <v>31</v>
      </c>
      <c r="I277" t="s">
        <v>53</v>
      </c>
      <c r="J277">
        <v>272401.31</v>
      </c>
      <c r="K277" t="s">
        <v>23</v>
      </c>
      <c r="L277" s="2">
        <v>45734</v>
      </c>
      <c r="M277" t="s">
        <v>24</v>
      </c>
      <c r="N277">
        <v>1061842.3999999999</v>
      </c>
      <c r="O277" t="s">
        <v>25</v>
      </c>
      <c r="P277">
        <f>YEAR('Main DataSet'!$L277)</f>
        <v>2025</v>
      </c>
      <c r="Q277">
        <f>MONTH('Main DataSet'!$L277)</f>
        <v>3</v>
      </c>
      <c r="R277" t="str">
        <f>TEXT('Main DataSet'!$L277,"MM-YYYY")</f>
        <v>03-2025</v>
      </c>
    </row>
    <row r="278" spans="1:18" ht="15.75" customHeight="1" x14ac:dyDescent="0.2">
      <c r="A278" t="s">
        <v>642</v>
      </c>
      <c r="B278">
        <v>854536</v>
      </c>
      <c r="C278" t="s">
        <v>643</v>
      </c>
      <c r="D278">
        <v>533388275492</v>
      </c>
      <c r="E278" t="s">
        <v>91</v>
      </c>
      <c r="F278" t="s">
        <v>109</v>
      </c>
      <c r="G278" t="s">
        <v>110</v>
      </c>
      <c r="H278" t="s">
        <v>67</v>
      </c>
      <c r="I278" t="s">
        <v>22</v>
      </c>
      <c r="J278">
        <v>584071.86</v>
      </c>
      <c r="K278" t="s">
        <v>23</v>
      </c>
      <c r="L278" s="2">
        <v>45275</v>
      </c>
      <c r="M278" t="s">
        <v>24</v>
      </c>
      <c r="N278">
        <v>981560.64999999991</v>
      </c>
      <c r="O278" t="s">
        <v>25</v>
      </c>
      <c r="P278">
        <f>YEAR('Main DataSet'!$L278)</f>
        <v>2023</v>
      </c>
      <c r="Q278">
        <f>MONTH('Main DataSet'!$L278)</f>
        <v>12</v>
      </c>
      <c r="R278" t="str">
        <f>TEXT('Main DataSet'!$L278,"MM-YYYY")</f>
        <v>12-2023</v>
      </c>
    </row>
    <row r="279" spans="1:18" ht="15.75" customHeight="1" x14ac:dyDescent="0.2">
      <c r="A279" t="s">
        <v>644</v>
      </c>
      <c r="B279">
        <v>247151</v>
      </c>
      <c r="C279" t="s">
        <v>645</v>
      </c>
      <c r="D279">
        <v>926782138535</v>
      </c>
      <c r="E279" t="s">
        <v>28</v>
      </c>
      <c r="F279" t="s">
        <v>29</v>
      </c>
      <c r="G279" t="s">
        <v>30</v>
      </c>
      <c r="H279" t="s">
        <v>70</v>
      </c>
      <c r="I279" t="s">
        <v>22</v>
      </c>
      <c r="J279">
        <v>314411.17</v>
      </c>
      <c r="K279" t="s">
        <v>39</v>
      </c>
      <c r="L279" s="2">
        <v>45336</v>
      </c>
      <c r="M279" t="s">
        <v>24</v>
      </c>
      <c r="N279">
        <v>1156721.3700000001</v>
      </c>
      <c r="O279" t="s">
        <v>25</v>
      </c>
      <c r="P279">
        <f>YEAR('Main DataSet'!$L279)</f>
        <v>2024</v>
      </c>
      <c r="Q279">
        <f>MONTH('Main DataSet'!$L279)</f>
        <v>2</v>
      </c>
      <c r="R279" t="str">
        <f>TEXT('Main DataSet'!$L279,"MM-YYYY")</f>
        <v>02-2024</v>
      </c>
    </row>
    <row r="280" spans="1:18" ht="15.75" customHeight="1" x14ac:dyDescent="0.2">
      <c r="A280" t="s">
        <v>646</v>
      </c>
      <c r="B280">
        <v>116982</v>
      </c>
      <c r="C280" t="s">
        <v>647</v>
      </c>
      <c r="D280">
        <v>123840092510</v>
      </c>
      <c r="E280" t="s">
        <v>18</v>
      </c>
      <c r="F280" t="s">
        <v>19</v>
      </c>
      <c r="G280" t="s">
        <v>20</v>
      </c>
      <c r="H280" t="s">
        <v>31</v>
      </c>
      <c r="I280" t="s">
        <v>48</v>
      </c>
      <c r="J280">
        <v>11969.71</v>
      </c>
      <c r="K280" t="s">
        <v>23</v>
      </c>
      <c r="L280" s="2">
        <v>45570</v>
      </c>
      <c r="M280" t="s">
        <v>24</v>
      </c>
      <c r="N280">
        <v>501200.97</v>
      </c>
      <c r="O280" t="s">
        <v>25</v>
      </c>
      <c r="P280">
        <f>YEAR('Main DataSet'!$L280)</f>
        <v>2024</v>
      </c>
      <c r="Q280">
        <f>MONTH('Main DataSet'!$L280)</f>
        <v>10</v>
      </c>
      <c r="R280" t="str">
        <f>TEXT('Main DataSet'!$L280,"MM-YYYY")</f>
        <v>10-2024</v>
      </c>
    </row>
    <row r="281" spans="1:18" ht="15.75" customHeight="1" x14ac:dyDescent="0.2">
      <c r="A281" t="s">
        <v>648</v>
      </c>
      <c r="B281">
        <v>588946</v>
      </c>
      <c r="C281" t="s">
        <v>649</v>
      </c>
      <c r="D281">
        <v>171963031441</v>
      </c>
      <c r="E281" t="s">
        <v>64</v>
      </c>
      <c r="F281" t="s">
        <v>146</v>
      </c>
      <c r="G281" t="s">
        <v>147</v>
      </c>
      <c r="H281" t="s">
        <v>67</v>
      </c>
      <c r="I281" t="s">
        <v>38</v>
      </c>
      <c r="J281">
        <v>116669.04</v>
      </c>
      <c r="K281" t="s">
        <v>23</v>
      </c>
      <c r="L281" s="2">
        <v>45262</v>
      </c>
      <c r="M281" t="s">
        <v>24</v>
      </c>
      <c r="N281">
        <v>1108834.99</v>
      </c>
      <c r="O281" t="s">
        <v>25</v>
      </c>
      <c r="P281">
        <f>YEAR('Main DataSet'!$L281)</f>
        <v>2023</v>
      </c>
      <c r="Q281">
        <f>MONTH('Main DataSet'!$L281)</f>
        <v>12</v>
      </c>
      <c r="R281" t="str">
        <f>TEXT('Main DataSet'!$L281,"MM-YYYY")</f>
        <v>12-2023</v>
      </c>
    </row>
    <row r="282" spans="1:18" ht="15.75" customHeight="1" x14ac:dyDescent="0.2">
      <c r="A282" t="s">
        <v>650</v>
      </c>
      <c r="B282">
        <v>316547</v>
      </c>
      <c r="C282" t="s">
        <v>651</v>
      </c>
      <c r="D282">
        <v>641936362459</v>
      </c>
      <c r="E282" t="s">
        <v>64</v>
      </c>
      <c r="F282" t="s">
        <v>146</v>
      </c>
      <c r="G282" t="s">
        <v>147</v>
      </c>
      <c r="H282" t="s">
        <v>70</v>
      </c>
      <c r="I282" t="s">
        <v>53</v>
      </c>
      <c r="J282">
        <v>443587.6</v>
      </c>
      <c r="K282" t="s">
        <v>23</v>
      </c>
      <c r="L282" s="2">
        <v>45352</v>
      </c>
      <c r="M282" t="s">
        <v>24</v>
      </c>
      <c r="N282">
        <v>1996546.47</v>
      </c>
      <c r="O282" t="s">
        <v>25</v>
      </c>
      <c r="P282">
        <f>YEAR('Main DataSet'!$L282)</f>
        <v>2024</v>
      </c>
      <c r="Q282">
        <f>MONTH('Main DataSet'!$L282)</f>
        <v>3</v>
      </c>
      <c r="R282" t="str">
        <f>TEXT('Main DataSet'!$L282,"MM-YYYY")</f>
        <v>03-2024</v>
      </c>
    </row>
    <row r="283" spans="1:18" ht="15.75" customHeight="1" x14ac:dyDescent="0.2">
      <c r="A283" t="s">
        <v>652</v>
      </c>
      <c r="B283">
        <v>492092</v>
      </c>
      <c r="C283" t="s">
        <v>653</v>
      </c>
      <c r="D283">
        <v>564967692986</v>
      </c>
      <c r="E283" t="s">
        <v>28</v>
      </c>
      <c r="F283" t="s">
        <v>29</v>
      </c>
      <c r="G283" t="s">
        <v>30</v>
      </c>
      <c r="H283" t="s">
        <v>31</v>
      </c>
      <c r="I283" t="s">
        <v>48</v>
      </c>
      <c r="J283">
        <v>101848.93</v>
      </c>
      <c r="K283" t="s">
        <v>32</v>
      </c>
      <c r="L283" s="2">
        <v>45243</v>
      </c>
      <c r="M283" t="s">
        <v>24</v>
      </c>
      <c r="N283">
        <v>1018560.23</v>
      </c>
      <c r="O283" t="s">
        <v>25</v>
      </c>
      <c r="P283">
        <f>YEAR('Main DataSet'!$L283)</f>
        <v>2023</v>
      </c>
      <c r="Q283">
        <f>MONTH('Main DataSet'!$L283)</f>
        <v>11</v>
      </c>
      <c r="R283" t="str">
        <f>TEXT('Main DataSet'!$L283,"MM-YYYY")</f>
        <v>11-2023</v>
      </c>
    </row>
    <row r="284" spans="1:18" ht="15.75" customHeight="1" x14ac:dyDescent="0.2">
      <c r="A284" t="s">
        <v>654</v>
      </c>
      <c r="B284">
        <v>689047</v>
      </c>
      <c r="C284" t="s">
        <v>655</v>
      </c>
      <c r="D284">
        <v>494929654093</v>
      </c>
      <c r="E284" t="s">
        <v>18</v>
      </c>
      <c r="F284" t="s">
        <v>156</v>
      </c>
      <c r="G284" t="s">
        <v>157</v>
      </c>
      <c r="H284" t="s">
        <v>67</v>
      </c>
      <c r="I284" t="s">
        <v>38</v>
      </c>
      <c r="J284">
        <v>10185.450000000001</v>
      </c>
      <c r="K284" t="s">
        <v>32</v>
      </c>
      <c r="L284" s="2">
        <v>45320</v>
      </c>
      <c r="M284" t="s">
        <v>24</v>
      </c>
      <c r="N284">
        <v>659150.17000000004</v>
      </c>
      <c r="O284" t="s">
        <v>25</v>
      </c>
      <c r="P284">
        <f>YEAR('Main DataSet'!$L284)</f>
        <v>2024</v>
      </c>
      <c r="Q284">
        <f>MONTH('Main DataSet'!$L284)</f>
        <v>1</v>
      </c>
      <c r="R284" t="str">
        <f>TEXT('Main DataSet'!$L284,"MM-YYYY")</f>
        <v>01-2024</v>
      </c>
    </row>
    <row r="285" spans="1:18" ht="15.75" customHeight="1" x14ac:dyDescent="0.2">
      <c r="A285" t="s">
        <v>656</v>
      </c>
      <c r="B285">
        <v>362079</v>
      </c>
      <c r="C285" t="s">
        <v>657</v>
      </c>
      <c r="D285">
        <v>119549755173</v>
      </c>
      <c r="E285" t="s">
        <v>64</v>
      </c>
      <c r="F285" t="s">
        <v>166</v>
      </c>
      <c r="G285" t="s">
        <v>167</v>
      </c>
      <c r="H285" t="s">
        <v>31</v>
      </c>
      <c r="I285" t="s">
        <v>38</v>
      </c>
      <c r="J285">
        <v>1553.42</v>
      </c>
      <c r="K285" t="s">
        <v>23</v>
      </c>
      <c r="L285" s="2">
        <v>45621</v>
      </c>
      <c r="M285" t="s">
        <v>24</v>
      </c>
      <c r="N285">
        <v>1995705.93</v>
      </c>
      <c r="O285" t="s">
        <v>25</v>
      </c>
      <c r="P285">
        <f>YEAR('Main DataSet'!$L285)</f>
        <v>2024</v>
      </c>
      <c r="Q285">
        <f>MONTH('Main DataSet'!$L285)</f>
        <v>11</v>
      </c>
      <c r="R285" t="str">
        <f>TEXT('Main DataSet'!$L285,"MM-YYYY")</f>
        <v>11-2024</v>
      </c>
    </row>
    <row r="286" spans="1:18" ht="15.75" customHeight="1" x14ac:dyDescent="0.2">
      <c r="A286" t="s">
        <v>658</v>
      </c>
      <c r="B286">
        <v>856677</v>
      </c>
      <c r="C286" t="s">
        <v>659</v>
      </c>
      <c r="D286">
        <v>124406358417</v>
      </c>
      <c r="E286" t="s">
        <v>28</v>
      </c>
      <c r="F286" t="s">
        <v>216</v>
      </c>
      <c r="G286" t="s">
        <v>217</v>
      </c>
      <c r="H286" t="s">
        <v>31</v>
      </c>
      <c r="I286" t="s">
        <v>38</v>
      </c>
      <c r="J286">
        <v>60785.43</v>
      </c>
      <c r="K286" t="s">
        <v>49</v>
      </c>
      <c r="L286" s="2">
        <v>45189</v>
      </c>
      <c r="M286" t="s">
        <v>24</v>
      </c>
      <c r="N286">
        <v>1643531.92</v>
      </c>
      <c r="O286" t="s">
        <v>25</v>
      </c>
      <c r="P286">
        <f>YEAR('Main DataSet'!$L286)</f>
        <v>2023</v>
      </c>
      <c r="Q286">
        <f>MONTH('Main DataSet'!$L286)</f>
        <v>9</v>
      </c>
      <c r="R286" t="str">
        <f>TEXT('Main DataSet'!$L286,"MM-YYYY")</f>
        <v>09-2023</v>
      </c>
    </row>
    <row r="287" spans="1:18" ht="15.75" customHeight="1" x14ac:dyDescent="0.2">
      <c r="A287" t="s">
        <v>660</v>
      </c>
      <c r="B287">
        <v>740300</v>
      </c>
      <c r="C287" t="s">
        <v>661</v>
      </c>
      <c r="D287">
        <v>994560173406</v>
      </c>
      <c r="E287" t="s">
        <v>18</v>
      </c>
      <c r="F287" t="s">
        <v>19</v>
      </c>
      <c r="G287" t="s">
        <v>20</v>
      </c>
      <c r="H287" t="s">
        <v>70</v>
      </c>
      <c r="I287" t="s">
        <v>53</v>
      </c>
      <c r="J287">
        <v>26356.89</v>
      </c>
      <c r="K287" t="s">
        <v>49</v>
      </c>
      <c r="L287" s="2">
        <v>45420</v>
      </c>
      <c r="M287" t="s">
        <v>24</v>
      </c>
      <c r="N287">
        <v>2014129.86</v>
      </c>
      <c r="O287" t="s">
        <v>25</v>
      </c>
      <c r="P287">
        <f>YEAR('Main DataSet'!$L287)</f>
        <v>2024</v>
      </c>
      <c r="Q287">
        <f>MONTH('Main DataSet'!$L287)</f>
        <v>5</v>
      </c>
      <c r="R287" t="str">
        <f>TEXT('Main DataSet'!$L287,"MM-YYYY")</f>
        <v>05-2024</v>
      </c>
    </row>
    <row r="288" spans="1:18" ht="15.75" customHeight="1" x14ac:dyDescent="0.2">
      <c r="A288" t="s">
        <v>662</v>
      </c>
      <c r="B288">
        <v>879380</v>
      </c>
      <c r="C288" t="s">
        <v>663</v>
      </c>
      <c r="D288">
        <v>136882903943</v>
      </c>
      <c r="E288" t="s">
        <v>35</v>
      </c>
      <c r="F288" t="s">
        <v>136</v>
      </c>
      <c r="G288" t="s">
        <v>137</v>
      </c>
      <c r="H288" t="s">
        <v>21</v>
      </c>
      <c r="I288" t="s">
        <v>53</v>
      </c>
      <c r="J288">
        <v>426792.12</v>
      </c>
      <c r="K288" t="s">
        <v>23</v>
      </c>
      <c r="L288" s="2">
        <v>45279</v>
      </c>
      <c r="M288" t="s">
        <v>24</v>
      </c>
      <c r="N288">
        <v>1603328.83</v>
      </c>
      <c r="O288" t="s">
        <v>25</v>
      </c>
      <c r="P288">
        <f>YEAR('Main DataSet'!$L288)</f>
        <v>2023</v>
      </c>
      <c r="Q288">
        <f>MONTH('Main DataSet'!$L288)</f>
        <v>12</v>
      </c>
      <c r="R288" t="str">
        <f>TEXT('Main DataSet'!$L288,"MM-YYYY")</f>
        <v>12-2023</v>
      </c>
    </row>
    <row r="289" spans="1:18" ht="15.75" customHeight="1" x14ac:dyDescent="0.2">
      <c r="A289" t="s">
        <v>664</v>
      </c>
      <c r="B289">
        <v>801581</v>
      </c>
      <c r="C289" t="s">
        <v>665</v>
      </c>
      <c r="D289">
        <v>217777372658</v>
      </c>
      <c r="E289" t="s">
        <v>18</v>
      </c>
      <c r="F289" t="s">
        <v>156</v>
      </c>
      <c r="G289" t="s">
        <v>157</v>
      </c>
      <c r="H289" t="s">
        <v>70</v>
      </c>
      <c r="I289" t="s">
        <v>53</v>
      </c>
      <c r="J289">
        <v>491742.99</v>
      </c>
      <c r="K289" t="s">
        <v>23</v>
      </c>
      <c r="L289" s="2">
        <v>45255</v>
      </c>
      <c r="M289" t="s">
        <v>24</v>
      </c>
      <c r="N289">
        <v>1035990.72</v>
      </c>
      <c r="O289" t="s">
        <v>25</v>
      </c>
      <c r="P289">
        <f>YEAR('Main DataSet'!$L289)</f>
        <v>2023</v>
      </c>
      <c r="Q289">
        <f>MONTH('Main DataSet'!$L289)</f>
        <v>11</v>
      </c>
      <c r="R289" t="str">
        <f>TEXT('Main DataSet'!$L289,"MM-YYYY")</f>
        <v>11-2023</v>
      </c>
    </row>
    <row r="290" spans="1:18" ht="15.75" customHeight="1" x14ac:dyDescent="0.2">
      <c r="A290" t="s">
        <v>666</v>
      </c>
      <c r="B290">
        <v>961459</v>
      </c>
      <c r="C290" t="s">
        <v>667</v>
      </c>
      <c r="D290">
        <v>437188099042</v>
      </c>
      <c r="E290" t="s">
        <v>64</v>
      </c>
      <c r="F290" t="s">
        <v>83</v>
      </c>
      <c r="G290" t="s">
        <v>84</v>
      </c>
      <c r="H290" t="s">
        <v>70</v>
      </c>
      <c r="I290" t="s">
        <v>53</v>
      </c>
      <c r="J290">
        <v>189663.01</v>
      </c>
      <c r="K290" t="s">
        <v>49</v>
      </c>
      <c r="L290" s="2">
        <v>45251</v>
      </c>
      <c r="M290" t="s">
        <v>24</v>
      </c>
      <c r="N290">
        <v>1340680.25</v>
      </c>
      <c r="O290" t="s">
        <v>25</v>
      </c>
      <c r="P290">
        <f>YEAR('Main DataSet'!$L290)</f>
        <v>2023</v>
      </c>
      <c r="Q290">
        <f>MONTH('Main DataSet'!$L290)</f>
        <v>11</v>
      </c>
      <c r="R290" t="str">
        <f>TEXT('Main DataSet'!$L290,"MM-YYYY")</f>
        <v>11-2023</v>
      </c>
    </row>
    <row r="291" spans="1:18" ht="15.75" customHeight="1" x14ac:dyDescent="0.2">
      <c r="A291" t="s">
        <v>668</v>
      </c>
      <c r="B291">
        <v>942595</v>
      </c>
      <c r="C291" t="s">
        <v>669</v>
      </c>
      <c r="D291">
        <v>883282254049</v>
      </c>
      <c r="E291" t="s">
        <v>35</v>
      </c>
      <c r="F291" t="s">
        <v>73</v>
      </c>
      <c r="G291" t="s">
        <v>74</v>
      </c>
      <c r="H291" t="s">
        <v>31</v>
      </c>
      <c r="I291" t="s">
        <v>48</v>
      </c>
      <c r="J291">
        <v>236628.52</v>
      </c>
      <c r="K291" t="s">
        <v>49</v>
      </c>
      <c r="L291" s="2">
        <v>45541</v>
      </c>
      <c r="M291" t="s">
        <v>24</v>
      </c>
      <c r="N291">
        <v>1761005.02</v>
      </c>
      <c r="O291" t="s">
        <v>25</v>
      </c>
      <c r="P291">
        <f>YEAR('Main DataSet'!$L291)</f>
        <v>2024</v>
      </c>
      <c r="Q291">
        <f>MONTH('Main DataSet'!$L291)</f>
        <v>9</v>
      </c>
      <c r="R291" t="str">
        <f>TEXT('Main DataSet'!$L291,"MM-YYYY")</f>
        <v>09-2024</v>
      </c>
    </row>
    <row r="292" spans="1:18" ht="15.75" customHeight="1" x14ac:dyDescent="0.2">
      <c r="A292" t="s">
        <v>670</v>
      </c>
      <c r="B292">
        <v>775026</v>
      </c>
      <c r="C292" t="s">
        <v>671</v>
      </c>
      <c r="D292">
        <v>462284198068</v>
      </c>
      <c r="E292" t="s">
        <v>91</v>
      </c>
      <c r="F292" t="s">
        <v>130</v>
      </c>
      <c r="G292" t="s">
        <v>131</v>
      </c>
      <c r="H292" t="s">
        <v>31</v>
      </c>
      <c r="I292" t="s">
        <v>22</v>
      </c>
      <c r="J292">
        <v>210645.38</v>
      </c>
      <c r="K292" t="s">
        <v>39</v>
      </c>
      <c r="L292" s="2">
        <v>45514</v>
      </c>
      <c r="M292" t="s">
        <v>24</v>
      </c>
      <c r="N292">
        <v>1621110.9</v>
      </c>
      <c r="O292" t="s">
        <v>25</v>
      </c>
      <c r="P292">
        <f>YEAR('Main DataSet'!$L292)</f>
        <v>2024</v>
      </c>
      <c r="Q292">
        <f>MONTH('Main DataSet'!$L292)</f>
        <v>8</v>
      </c>
      <c r="R292" t="str">
        <f>TEXT('Main DataSet'!$L292,"MM-YYYY")</f>
        <v>08-2024</v>
      </c>
    </row>
    <row r="293" spans="1:18" ht="15.75" customHeight="1" x14ac:dyDescent="0.2">
      <c r="A293" t="s">
        <v>672</v>
      </c>
      <c r="B293">
        <v>433250</v>
      </c>
      <c r="C293" t="s">
        <v>673</v>
      </c>
      <c r="D293">
        <v>123226173461</v>
      </c>
      <c r="E293" t="s">
        <v>18</v>
      </c>
      <c r="F293" t="s">
        <v>156</v>
      </c>
      <c r="G293" t="s">
        <v>157</v>
      </c>
      <c r="H293" t="s">
        <v>31</v>
      </c>
      <c r="I293" t="s">
        <v>22</v>
      </c>
      <c r="J293">
        <v>290735.08</v>
      </c>
      <c r="K293" t="s">
        <v>98</v>
      </c>
      <c r="L293" s="2">
        <v>45344</v>
      </c>
      <c r="M293" t="s">
        <v>24</v>
      </c>
      <c r="N293">
        <v>2174884.65</v>
      </c>
      <c r="O293" t="s">
        <v>25</v>
      </c>
      <c r="P293">
        <f>YEAR('Main DataSet'!$L293)</f>
        <v>2024</v>
      </c>
      <c r="Q293">
        <f>MONTH('Main DataSet'!$L293)</f>
        <v>2</v>
      </c>
      <c r="R293" t="str">
        <f>TEXT('Main DataSet'!$L293,"MM-YYYY")</f>
        <v>02-2024</v>
      </c>
    </row>
    <row r="294" spans="1:18" ht="15.75" customHeight="1" x14ac:dyDescent="0.2">
      <c r="A294" t="s">
        <v>674</v>
      </c>
      <c r="B294">
        <v>363910</v>
      </c>
      <c r="C294" t="s">
        <v>675</v>
      </c>
      <c r="D294">
        <v>677482806646</v>
      </c>
      <c r="E294" t="s">
        <v>64</v>
      </c>
      <c r="F294" t="s">
        <v>65</v>
      </c>
      <c r="G294" t="s">
        <v>66</v>
      </c>
      <c r="H294" t="s">
        <v>70</v>
      </c>
      <c r="I294" t="s">
        <v>53</v>
      </c>
      <c r="J294">
        <v>56566.32</v>
      </c>
      <c r="K294" t="s">
        <v>98</v>
      </c>
      <c r="L294" s="2">
        <v>45340</v>
      </c>
      <c r="M294" t="s">
        <v>24</v>
      </c>
      <c r="N294">
        <v>1359620.56</v>
      </c>
      <c r="O294" t="s">
        <v>25</v>
      </c>
      <c r="P294">
        <f>YEAR('Main DataSet'!$L294)</f>
        <v>2024</v>
      </c>
      <c r="Q294">
        <f>MONTH('Main DataSet'!$L294)</f>
        <v>2</v>
      </c>
      <c r="R294" t="str">
        <f>TEXT('Main DataSet'!$L294,"MM-YYYY")</f>
        <v>02-2024</v>
      </c>
    </row>
    <row r="295" spans="1:18" ht="15.75" customHeight="1" x14ac:dyDescent="0.2">
      <c r="A295" t="s">
        <v>676</v>
      </c>
      <c r="B295">
        <v>665314</v>
      </c>
      <c r="C295" t="s">
        <v>677</v>
      </c>
      <c r="D295">
        <v>420857447807</v>
      </c>
      <c r="E295" t="s">
        <v>64</v>
      </c>
      <c r="F295" t="s">
        <v>65</v>
      </c>
      <c r="G295" t="s">
        <v>66</v>
      </c>
      <c r="H295" t="s">
        <v>70</v>
      </c>
      <c r="I295" t="s">
        <v>38</v>
      </c>
      <c r="J295">
        <v>128481.44</v>
      </c>
      <c r="K295" t="s">
        <v>23</v>
      </c>
      <c r="L295" s="2">
        <v>45210</v>
      </c>
      <c r="M295" t="s">
        <v>24</v>
      </c>
      <c r="N295">
        <v>1180805.3799999999</v>
      </c>
      <c r="O295" t="s">
        <v>25</v>
      </c>
      <c r="P295">
        <f>YEAR('Main DataSet'!$L295)</f>
        <v>2023</v>
      </c>
      <c r="Q295">
        <f>MONTH('Main DataSet'!$L295)</f>
        <v>10</v>
      </c>
      <c r="R295" t="str">
        <f>TEXT('Main DataSet'!$L295,"MM-YYYY")</f>
        <v>10-2023</v>
      </c>
    </row>
    <row r="296" spans="1:18" ht="15.75" customHeight="1" x14ac:dyDescent="0.2">
      <c r="A296" t="s">
        <v>678</v>
      </c>
      <c r="B296">
        <v>560593</v>
      </c>
      <c r="C296" t="s">
        <v>679</v>
      </c>
      <c r="D296">
        <v>242581856250</v>
      </c>
      <c r="E296" t="s">
        <v>18</v>
      </c>
      <c r="F296" t="s">
        <v>56</v>
      </c>
      <c r="G296" t="s">
        <v>57</v>
      </c>
      <c r="H296" t="s">
        <v>67</v>
      </c>
      <c r="I296" t="s">
        <v>53</v>
      </c>
      <c r="J296">
        <v>342352.78</v>
      </c>
      <c r="K296" t="s">
        <v>49</v>
      </c>
      <c r="L296" s="2">
        <v>45388</v>
      </c>
      <c r="M296" t="s">
        <v>24</v>
      </c>
      <c r="N296">
        <v>1571656.18</v>
      </c>
      <c r="O296" t="s">
        <v>25</v>
      </c>
      <c r="P296">
        <f>YEAR('Main DataSet'!$L296)</f>
        <v>2024</v>
      </c>
      <c r="Q296">
        <f>MONTH('Main DataSet'!$L296)</f>
        <v>4</v>
      </c>
      <c r="R296" t="str">
        <f>TEXT('Main DataSet'!$L296,"MM-YYYY")</f>
        <v>04-2024</v>
      </c>
    </row>
    <row r="297" spans="1:18" ht="15.75" customHeight="1" x14ac:dyDescent="0.2">
      <c r="A297" t="s">
        <v>680</v>
      </c>
      <c r="B297">
        <v>818431</v>
      </c>
      <c r="C297" t="s">
        <v>681</v>
      </c>
      <c r="D297">
        <v>134008821990</v>
      </c>
      <c r="E297" t="s">
        <v>18</v>
      </c>
      <c r="F297" t="s">
        <v>46</v>
      </c>
      <c r="G297" t="s">
        <v>47</v>
      </c>
      <c r="H297" t="s">
        <v>70</v>
      </c>
      <c r="I297" t="s">
        <v>38</v>
      </c>
      <c r="J297">
        <v>85345.93</v>
      </c>
      <c r="K297" t="s">
        <v>39</v>
      </c>
      <c r="L297" s="2">
        <v>45443</v>
      </c>
      <c r="M297" t="s">
        <v>24</v>
      </c>
      <c r="N297">
        <v>1748371.94</v>
      </c>
      <c r="O297" t="s">
        <v>179</v>
      </c>
      <c r="P297">
        <f>YEAR('Main DataSet'!$L297)</f>
        <v>2024</v>
      </c>
      <c r="Q297">
        <f>MONTH('Main DataSet'!$L297)</f>
        <v>5</v>
      </c>
      <c r="R297" t="str">
        <f>TEXT('Main DataSet'!$L297,"MM-YYYY")</f>
        <v>05-2024</v>
      </c>
    </row>
    <row r="298" spans="1:18" ht="15.75" customHeight="1" x14ac:dyDescent="0.2">
      <c r="A298" t="s">
        <v>682</v>
      </c>
      <c r="B298">
        <v>866770</v>
      </c>
      <c r="C298" t="s">
        <v>683</v>
      </c>
      <c r="D298">
        <v>151051425844</v>
      </c>
      <c r="E298" t="s">
        <v>64</v>
      </c>
      <c r="F298" t="s">
        <v>146</v>
      </c>
      <c r="G298" t="s">
        <v>147</v>
      </c>
      <c r="H298" t="s">
        <v>31</v>
      </c>
      <c r="I298" t="s">
        <v>48</v>
      </c>
      <c r="J298">
        <v>79519.039999999994</v>
      </c>
      <c r="K298" t="s">
        <v>32</v>
      </c>
      <c r="L298" s="2">
        <v>45753</v>
      </c>
      <c r="M298" t="s">
        <v>24</v>
      </c>
      <c r="N298">
        <v>723530.21000000008</v>
      </c>
      <c r="O298" t="s">
        <v>25</v>
      </c>
      <c r="P298">
        <f>YEAR('Main DataSet'!$L298)</f>
        <v>2025</v>
      </c>
      <c r="Q298">
        <f>MONTH('Main DataSet'!$L298)</f>
        <v>4</v>
      </c>
      <c r="R298" t="str">
        <f>TEXT('Main DataSet'!$L298,"MM-YYYY")</f>
        <v>04-2025</v>
      </c>
    </row>
    <row r="299" spans="1:18" ht="15.75" customHeight="1" x14ac:dyDescent="0.2">
      <c r="A299" t="s">
        <v>684</v>
      </c>
      <c r="B299">
        <v>372542</v>
      </c>
      <c r="C299" t="s">
        <v>685</v>
      </c>
      <c r="D299">
        <v>289947365975</v>
      </c>
      <c r="E299" t="s">
        <v>28</v>
      </c>
      <c r="F299" t="s">
        <v>29</v>
      </c>
      <c r="G299" t="s">
        <v>30</v>
      </c>
      <c r="H299" t="s">
        <v>67</v>
      </c>
      <c r="I299" t="s">
        <v>22</v>
      </c>
      <c r="J299">
        <v>158595.54999999999</v>
      </c>
      <c r="K299" t="s">
        <v>32</v>
      </c>
      <c r="L299" s="2">
        <v>45479</v>
      </c>
      <c r="M299" t="s">
        <v>24</v>
      </c>
      <c r="N299">
        <v>1973122.34</v>
      </c>
      <c r="O299" t="s">
        <v>25</v>
      </c>
      <c r="P299">
        <f>YEAR('Main DataSet'!$L299)</f>
        <v>2024</v>
      </c>
      <c r="Q299">
        <f>MONTH('Main DataSet'!$L299)</f>
        <v>7</v>
      </c>
      <c r="R299" t="str">
        <f>TEXT('Main DataSet'!$L299,"MM-YYYY")</f>
        <v>07-2024</v>
      </c>
    </row>
    <row r="300" spans="1:18" ht="15.75" customHeight="1" x14ac:dyDescent="0.2">
      <c r="A300" t="s">
        <v>686</v>
      </c>
      <c r="B300">
        <v>953804</v>
      </c>
      <c r="C300" t="s">
        <v>687</v>
      </c>
      <c r="D300">
        <v>241139363334</v>
      </c>
      <c r="E300" t="s">
        <v>28</v>
      </c>
      <c r="F300" t="s">
        <v>192</v>
      </c>
      <c r="G300" t="s">
        <v>193</v>
      </c>
      <c r="H300" t="s">
        <v>67</v>
      </c>
      <c r="I300" t="s">
        <v>53</v>
      </c>
      <c r="J300">
        <v>97285.9</v>
      </c>
      <c r="K300" t="s">
        <v>39</v>
      </c>
      <c r="L300" s="2">
        <v>45426</v>
      </c>
      <c r="M300" t="s">
        <v>24</v>
      </c>
      <c r="N300">
        <v>1096499.6100000001</v>
      </c>
      <c r="O300" t="s">
        <v>25</v>
      </c>
      <c r="P300">
        <f>YEAR('Main DataSet'!$L300)</f>
        <v>2024</v>
      </c>
      <c r="Q300">
        <f>MONTH('Main DataSet'!$L300)</f>
        <v>5</v>
      </c>
      <c r="R300" t="str">
        <f>TEXT('Main DataSet'!$L300,"MM-YYYY")</f>
        <v>05-2024</v>
      </c>
    </row>
    <row r="301" spans="1:18" ht="15.75" customHeight="1" x14ac:dyDescent="0.2">
      <c r="A301" t="s">
        <v>688</v>
      </c>
      <c r="B301">
        <v>916955</v>
      </c>
      <c r="C301" t="s">
        <v>689</v>
      </c>
      <c r="D301">
        <v>635029319031</v>
      </c>
      <c r="E301" t="s">
        <v>64</v>
      </c>
      <c r="F301" t="s">
        <v>65</v>
      </c>
      <c r="G301" t="s">
        <v>66</v>
      </c>
      <c r="H301" t="s">
        <v>31</v>
      </c>
      <c r="I301" t="s">
        <v>53</v>
      </c>
      <c r="J301">
        <v>126634.62</v>
      </c>
      <c r="K301" t="s">
        <v>32</v>
      </c>
      <c r="L301" s="2">
        <v>45559</v>
      </c>
      <c r="M301" t="s">
        <v>24</v>
      </c>
      <c r="N301">
        <v>1183803.32</v>
      </c>
      <c r="O301" t="s">
        <v>25</v>
      </c>
      <c r="P301">
        <f>YEAR('Main DataSet'!$L301)</f>
        <v>2024</v>
      </c>
      <c r="Q301">
        <f>MONTH('Main DataSet'!$L301)</f>
        <v>9</v>
      </c>
      <c r="R301" t="str">
        <f>TEXT('Main DataSet'!$L301,"MM-YYYY")</f>
        <v>09-2024</v>
      </c>
    </row>
    <row r="302" spans="1:18" ht="15.75" customHeight="1" x14ac:dyDescent="0.2">
      <c r="A302" t="s">
        <v>690</v>
      </c>
      <c r="B302">
        <v>977193</v>
      </c>
      <c r="C302" t="s">
        <v>691</v>
      </c>
      <c r="D302">
        <v>268490351527</v>
      </c>
      <c r="E302" t="s">
        <v>91</v>
      </c>
      <c r="F302" t="s">
        <v>105</v>
      </c>
      <c r="G302" t="s">
        <v>106</v>
      </c>
      <c r="H302" t="s">
        <v>21</v>
      </c>
      <c r="I302" t="s">
        <v>38</v>
      </c>
      <c r="J302">
        <v>21877.29</v>
      </c>
      <c r="K302" t="s">
        <v>98</v>
      </c>
      <c r="L302" s="2">
        <v>45777</v>
      </c>
      <c r="M302" t="s">
        <v>24</v>
      </c>
      <c r="N302">
        <v>1159209.6200000001</v>
      </c>
      <c r="O302" t="s">
        <v>25</v>
      </c>
      <c r="P302">
        <f>YEAR('Main DataSet'!$L302)</f>
        <v>2025</v>
      </c>
      <c r="Q302">
        <f>MONTH('Main DataSet'!$L302)</f>
        <v>4</v>
      </c>
      <c r="R302" t="str">
        <f>TEXT('Main DataSet'!$L302,"MM-YYYY")</f>
        <v>04-2025</v>
      </c>
    </row>
    <row r="303" spans="1:18" ht="15.75" customHeight="1" x14ac:dyDescent="0.2">
      <c r="A303" t="s">
        <v>692</v>
      </c>
      <c r="B303">
        <v>432558</v>
      </c>
      <c r="C303" t="s">
        <v>693</v>
      </c>
      <c r="D303">
        <v>584318320202</v>
      </c>
      <c r="E303" t="s">
        <v>91</v>
      </c>
      <c r="F303" t="s">
        <v>109</v>
      </c>
      <c r="G303" t="s">
        <v>110</v>
      </c>
      <c r="H303" t="s">
        <v>31</v>
      </c>
      <c r="I303" t="s">
        <v>22</v>
      </c>
      <c r="J303">
        <v>252929.01</v>
      </c>
      <c r="K303" t="s">
        <v>49</v>
      </c>
      <c r="L303" s="2">
        <v>45832</v>
      </c>
      <c r="M303" t="s">
        <v>24</v>
      </c>
      <c r="N303">
        <v>2184054.12</v>
      </c>
      <c r="O303" t="s">
        <v>25</v>
      </c>
      <c r="P303">
        <f>YEAR('Main DataSet'!$L303)</f>
        <v>2025</v>
      </c>
      <c r="Q303">
        <f>MONTH('Main DataSet'!$L303)</f>
        <v>6</v>
      </c>
      <c r="R303" t="str">
        <f>TEXT('Main DataSet'!$L303,"MM-YYYY")</f>
        <v>06-2025</v>
      </c>
    </row>
    <row r="304" spans="1:18" ht="15.75" customHeight="1" x14ac:dyDescent="0.2">
      <c r="A304" t="s">
        <v>694</v>
      </c>
      <c r="B304">
        <v>240903</v>
      </c>
      <c r="C304" t="s">
        <v>695</v>
      </c>
      <c r="D304">
        <v>139932947699</v>
      </c>
      <c r="E304" t="s">
        <v>64</v>
      </c>
      <c r="F304" t="s">
        <v>146</v>
      </c>
      <c r="G304" t="s">
        <v>147</v>
      </c>
      <c r="H304" t="s">
        <v>67</v>
      </c>
      <c r="I304" t="s">
        <v>38</v>
      </c>
      <c r="J304">
        <v>25588.29</v>
      </c>
      <c r="K304" t="s">
        <v>23</v>
      </c>
      <c r="L304" s="2">
        <v>45556</v>
      </c>
      <c r="M304" t="s">
        <v>24</v>
      </c>
      <c r="N304">
        <v>1359400.18</v>
      </c>
      <c r="O304" t="s">
        <v>25</v>
      </c>
      <c r="P304">
        <f>YEAR('Main DataSet'!$L304)</f>
        <v>2024</v>
      </c>
      <c r="Q304">
        <f>MONTH('Main DataSet'!$L304)</f>
        <v>9</v>
      </c>
      <c r="R304" t="str">
        <f>TEXT('Main DataSet'!$L304,"MM-YYYY")</f>
        <v>09-2024</v>
      </c>
    </row>
    <row r="305" spans="1:18" ht="15.75" customHeight="1" x14ac:dyDescent="0.2">
      <c r="A305" t="s">
        <v>696</v>
      </c>
      <c r="B305">
        <v>155800</v>
      </c>
      <c r="C305" t="s">
        <v>697</v>
      </c>
      <c r="D305">
        <v>172987559056</v>
      </c>
      <c r="E305" t="s">
        <v>28</v>
      </c>
      <c r="F305" t="s">
        <v>150</v>
      </c>
      <c r="G305" t="s">
        <v>151</v>
      </c>
      <c r="H305" t="s">
        <v>67</v>
      </c>
      <c r="I305" t="s">
        <v>53</v>
      </c>
      <c r="J305">
        <v>488550.1</v>
      </c>
      <c r="K305" t="s">
        <v>98</v>
      </c>
      <c r="L305" s="2">
        <v>45725</v>
      </c>
      <c r="M305" t="s">
        <v>24</v>
      </c>
      <c r="N305">
        <v>1782974.75</v>
      </c>
      <c r="O305" t="s">
        <v>25</v>
      </c>
      <c r="P305">
        <f>YEAR('Main DataSet'!$L305)</f>
        <v>2025</v>
      </c>
      <c r="Q305">
        <f>MONTH('Main DataSet'!$L305)</f>
        <v>3</v>
      </c>
      <c r="R305" t="str">
        <f>TEXT('Main DataSet'!$L305,"MM-YYYY")</f>
        <v>03-2025</v>
      </c>
    </row>
    <row r="306" spans="1:18" ht="15.75" customHeight="1" x14ac:dyDescent="0.2">
      <c r="A306" t="s">
        <v>698</v>
      </c>
      <c r="B306">
        <v>288231</v>
      </c>
      <c r="C306" t="s">
        <v>699</v>
      </c>
      <c r="D306">
        <v>275740728802</v>
      </c>
      <c r="E306" t="s">
        <v>28</v>
      </c>
      <c r="F306" t="s">
        <v>192</v>
      </c>
      <c r="G306" t="s">
        <v>193</v>
      </c>
      <c r="H306" t="s">
        <v>31</v>
      </c>
      <c r="I306" t="s">
        <v>22</v>
      </c>
      <c r="J306">
        <v>95620.89</v>
      </c>
      <c r="K306" t="s">
        <v>32</v>
      </c>
      <c r="L306" s="2">
        <v>45770</v>
      </c>
      <c r="M306" t="s">
        <v>24</v>
      </c>
      <c r="N306">
        <v>1185408.31</v>
      </c>
      <c r="O306" t="s">
        <v>25</v>
      </c>
      <c r="P306">
        <f>YEAR('Main DataSet'!$L306)</f>
        <v>2025</v>
      </c>
      <c r="Q306">
        <f>MONTH('Main DataSet'!$L306)</f>
        <v>4</v>
      </c>
      <c r="R306" t="str">
        <f>TEXT('Main DataSet'!$L306,"MM-YYYY")</f>
        <v>04-2025</v>
      </c>
    </row>
    <row r="307" spans="1:18" ht="15.75" customHeight="1" x14ac:dyDescent="0.2">
      <c r="A307" t="s">
        <v>700</v>
      </c>
      <c r="B307">
        <v>990243</v>
      </c>
      <c r="C307" t="s">
        <v>701</v>
      </c>
      <c r="D307">
        <v>549737898101</v>
      </c>
      <c r="E307" t="s">
        <v>91</v>
      </c>
      <c r="F307" t="s">
        <v>162</v>
      </c>
      <c r="G307" t="s">
        <v>163</v>
      </c>
      <c r="H307" t="s">
        <v>31</v>
      </c>
      <c r="I307" t="s">
        <v>48</v>
      </c>
      <c r="J307">
        <v>201991.8</v>
      </c>
      <c r="K307" t="s">
        <v>98</v>
      </c>
      <c r="L307" s="2">
        <v>45391</v>
      </c>
      <c r="M307" t="s">
        <v>24</v>
      </c>
      <c r="N307">
        <v>1661830.21</v>
      </c>
      <c r="O307" t="s">
        <v>25</v>
      </c>
      <c r="P307">
        <f>YEAR('Main DataSet'!$L307)</f>
        <v>2024</v>
      </c>
      <c r="Q307">
        <f>MONTH('Main DataSet'!$L307)</f>
        <v>4</v>
      </c>
      <c r="R307" t="str">
        <f>TEXT('Main DataSet'!$L307,"MM-YYYY")</f>
        <v>04-2024</v>
      </c>
    </row>
    <row r="308" spans="1:18" ht="15.75" customHeight="1" x14ac:dyDescent="0.2">
      <c r="A308" t="s">
        <v>702</v>
      </c>
      <c r="B308">
        <v>311363</v>
      </c>
      <c r="C308" t="s">
        <v>703</v>
      </c>
      <c r="D308">
        <v>985206008802</v>
      </c>
      <c r="E308" t="s">
        <v>35</v>
      </c>
      <c r="F308" t="s">
        <v>42</v>
      </c>
      <c r="G308" t="s">
        <v>43</v>
      </c>
      <c r="H308" t="s">
        <v>67</v>
      </c>
      <c r="I308" t="s">
        <v>22</v>
      </c>
      <c r="J308">
        <v>460250.13</v>
      </c>
      <c r="K308" t="s">
        <v>98</v>
      </c>
      <c r="L308" s="2">
        <v>45371</v>
      </c>
      <c r="M308" t="s">
        <v>24</v>
      </c>
      <c r="N308">
        <v>1506146.94</v>
      </c>
      <c r="O308" t="s">
        <v>179</v>
      </c>
      <c r="P308">
        <f>YEAR('Main DataSet'!$L308)</f>
        <v>2024</v>
      </c>
      <c r="Q308">
        <f>MONTH('Main DataSet'!$L308)</f>
        <v>3</v>
      </c>
      <c r="R308" t="str">
        <f>TEXT('Main DataSet'!$L308,"MM-YYYY")</f>
        <v>03-2024</v>
      </c>
    </row>
    <row r="309" spans="1:18" ht="15.75" customHeight="1" x14ac:dyDescent="0.2">
      <c r="A309" t="s">
        <v>704</v>
      </c>
      <c r="B309">
        <v>462822</v>
      </c>
      <c r="C309" t="s">
        <v>705</v>
      </c>
      <c r="D309">
        <v>119278894333</v>
      </c>
      <c r="E309" t="s">
        <v>18</v>
      </c>
      <c r="F309" t="s">
        <v>46</v>
      </c>
      <c r="G309" t="s">
        <v>47</v>
      </c>
      <c r="H309" t="s">
        <v>31</v>
      </c>
      <c r="I309" t="s">
        <v>53</v>
      </c>
      <c r="J309">
        <v>13160.06</v>
      </c>
      <c r="K309" t="s">
        <v>23</v>
      </c>
      <c r="L309" s="2">
        <v>45709</v>
      </c>
      <c r="M309" t="s">
        <v>24</v>
      </c>
      <c r="N309">
        <v>1579591.09</v>
      </c>
      <c r="O309" t="s">
        <v>25</v>
      </c>
      <c r="P309">
        <f>YEAR('Main DataSet'!$L309)</f>
        <v>2025</v>
      </c>
      <c r="Q309">
        <f>MONTH('Main DataSet'!$L309)</f>
        <v>2</v>
      </c>
      <c r="R309" t="str">
        <f>TEXT('Main DataSet'!$L309,"MM-YYYY")</f>
        <v>02-2025</v>
      </c>
    </row>
    <row r="310" spans="1:18" ht="15.75" customHeight="1" x14ac:dyDescent="0.2">
      <c r="A310" t="s">
        <v>706</v>
      </c>
      <c r="B310">
        <v>712345</v>
      </c>
      <c r="C310" t="s">
        <v>707</v>
      </c>
      <c r="D310">
        <v>279271808282</v>
      </c>
      <c r="E310" t="s">
        <v>35</v>
      </c>
      <c r="F310" t="s">
        <v>36</v>
      </c>
      <c r="G310" t="s">
        <v>37</v>
      </c>
      <c r="H310" t="s">
        <v>21</v>
      </c>
      <c r="I310" t="s">
        <v>22</v>
      </c>
      <c r="J310">
        <v>525074.59</v>
      </c>
      <c r="K310" t="s">
        <v>23</v>
      </c>
      <c r="L310" s="2">
        <v>45315</v>
      </c>
      <c r="M310" t="s">
        <v>24</v>
      </c>
      <c r="N310">
        <v>938423.33</v>
      </c>
      <c r="O310" t="s">
        <v>25</v>
      </c>
      <c r="P310">
        <f>YEAR('Main DataSet'!$L310)</f>
        <v>2024</v>
      </c>
      <c r="Q310">
        <f>MONTH('Main DataSet'!$L310)</f>
        <v>1</v>
      </c>
      <c r="R310" t="str">
        <f>TEXT('Main DataSet'!$L310,"MM-YYYY")</f>
        <v>01-2024</v>
      </c>
    </row>
    <row r="311" spans="1:18" ht="15.75" customHeight="1" x14ac:dyDescent="0.2">
      <c r="A311" t="s">
        <v>708</v>
      </c>
      <c r="B311">
        <v>113883</v>
      </c>
      <c r="C311" t="s">
        <v>709</v>
      </c>
      <c r="D311">
        <v>823851213066</v>
      </c>
      <c r="E311" t="s">
        <v>35</v>
      </c>
      <c r="F311" t="s">
        <v>36</v>
      </c>
      <c r="G311" t="s">
        <v>37</v>
      </c>
      <c r="H311" t="s">
        <v>70</v>
      </c>
      <c r="I311" t="s">
        <v>48</v>
      </c>
      <c r="J311">
        <v>124890</v>
      </c>
      <c r="K311" t="s">
        <v>49</v>
      </c>
      <c r="L311" s="2">
        <v>45477</v>
      </c>
      <c r="M311" t="s">
        <v>24</v>
      </c>
      <c r="N311">
        <v>431745.3</v>
      </c>
      <c r="O311" t="s">
        <v>25</v>
      </c>
      <c r="P311">
        <f>YEAR('Main DataSet'!$L311)</f>
        <v>2024</v>
      </c>
      <c r="Q311">
        <f>MONTH('Main DataSet'!$L311)</f>
        <v>7</v>
      </c>
      <c r="R311" t="str">
        <f>TEXT('Main DataSet'!$L311,"MM-YYYY")</f>
        <v>07-2024</v>
      </c>
    </row>
    <row r="312" spans="1:18" ht="15.75" customHeight="1" x14ac:dyDescent="0.2">
      <c r="A312" t="s">
        <v>710</v>
      </c>
      <c r="B312">
        <v>339747</v>
      </c>
      <c r="C312" t="s">
        <v>711</v>
      </c>
      <c r="D312">
        <v>702582639068</v>
      </c>
      <c r="E312" t="s">
        <v>64</v>
      </c>
      <c r="F312" t="s">
        <v>177</v>
      </c>
      <c r="G312" t="s">
        <v>178</v>
      </c>
      <c r="H312" t="s">
        <v>21</v>
      </c>
      <c r="I312" t="s">
        <v>53</v>
      </c>
      <c r="J312">
        <v>96128.29</v>
      </c>
      <c r="K312" t="s">
        <v>98</v>
      </c>
      <c r="L312" s="2">
        <v>45378</v>
      </c>
      <c r="M312" t="s">
        <v>24</v>
      </c>
      <c r="N312">
        <v>311631.5</v>
      </c>
      <c r="O312" t="s">
        <v>25</v>
      </c>
      <c r="P312">
        <f>YEAR('Main DataSet'!$L312)</f>
        <v>2024</v>
      </c>
      <c r="Q312">
        <f>MONTH('Main DataSet'!$L312)</f>
        <v>3</v>
      </c>
      <c r="R312" t="str">
        <f>TEXT('Main DataSet'!$L312,"MM-YYYY")</f>
        <v>03-2024</v>
      </c>
    </row>
    <row r="313" spans="1:18" ht="15.75" customHeight="1" x14ac:dyDescent="0.2">
      <c r="A313" t="s">
        <v>712</v>
      </c>
      <c r="B313">
        <v>124171</v>
      </c>
      <c r="C313" t="s">
        <v>713</v>
      </c>
      <c r="D313">
        <v>103490076984</v>
      </c>
      <c r="E313" t="s">
        <v>91</v>
      </c>
      <c r="F313" t="s">
        <v>105</v>
      </c>
      <c r="G313" t="s">
        <v>106</v>
      </c>
      <c r="H313" t="s">
        <v>70</v>
      </c>
      <c r="I313" t="s">
        <v>48</v>
      </c>
      <c r="J313">
        <v>78134.240000000005</v>
      </c>
      <c r="K313" t="s">
        <v>23</v>
      </c>
      <c r="L313" s="2">
        <v>45595</v>
      </c>
      <c r="M313" t="s">
        <v>24</v>
      </c>
      <c r="N313">
        <v>1325069.24</v>
      </c>
      <c r="O313" t="s">
        <v>25</v>
      </c>
      <c r="P313">
        <f>YEAR('Main DataSet'!$L313)</f>
        <v>2024</v>
      </c>
      <c r="Q313">
        <f>MONTH('Main DataSet'!$L313)</f>
        <v>10</v>
      </c>
      <c r="R313" t="str">
        <f>TEXT('Main DataSet'!$L313,"MM-YYYY")</f>
        <v>10-2024</v>
      </c>
    </row>
    <row r="314" spans="1:18" ht="15.75" customHeight="1" x14ac:dyDescent="0.2">
      <c r="A314" t="s">
        <v>714</v>
      </c>
      <c r="B314">
        <v>805755</v>
      </c>
      <c r="C314" t="s">
        <v>715</v>
      </c>
      <c r="D314">
        <v>490291230378</v>
      </c>
      <c r="E314" t="s">
        <v>91</v>
      </c>
      <c r="F314" t="s">
        <v>162</v>
      </c>
      <c r="G314" t="s">
        <v>163</v>
      </c>
      <c r="H314" t="s">
        <v>31</v>
      </c>
      <c r="I314" t="s">
        <v>22</v>
      </c>
      <c r="J314">
        <v>112622.64</v>
      </c>
      <c r="K314" t="s">
        <v>98</v>
      </c>
      <c r="L314" s="2">
        <v>45332</v>
      </c>
      <c r="M314" t="s">
        <v>50</v>
      </c>
      <c r="N314">
        <v>1684299.3</v>
      </c>
      <c r="O314" t="s">
        <v>25</v>
      </c>
      <c r="P314">
        <f>YEAR('Main DataSet'!$L314)</f>
        <v>2024</v>
      </c>
      <c r="Q314">
        <f>MONTH('Main DataSet'!$L314)</f>
        <v>2</v>
      </c>
      <c r="R314" t="str">
        <f>TEXT('Main DataSet'!$L314,"MM-YYYY")</f>
        <v>02-2024</v>
      </c>
    </row>
    <row r="315" spans="1:18" ht="15.75" customHeight="1" x14ac:dyDescent="0.2">
      <c r="A315" t="s">
        <v>716</v>
      </c>
      <c r="B315">
        <v>596468</v>
      </c>
      <c r="C315" t="s">
        <v>717</v>
      </c>
      <c r="D315">
        <v>772077329179</v>
      </c>
      <c r="E315" t="s">
        <v>64</v>
      </c>
      <c r="F315" t="s">
        <v>83</v>
      </c>
      <c r="G315" t="s">
        <v>84</v>
      </c>
      <c r="H315" t="s">
        <v>31</v>
      </c>
      <c r="I315" t="s">
        <v>53</v>
      </c>
      <c r="J315">
        <v>406595</v>
      </c>
      <c r="K315" t="s">
        <v>49</v>
      </c>
      <c r="L315" s="2">
        <v>45576</v>
      </c>
      <c r="M315" t="s">
        <v>24</v>
      </c>
      <c r="N315">
        <v>585059.64</v>
      </c>
      <c r="O315" t="s">
        <v>25</v>
      </c>
      <c r="P315">
        <f>YEAR('Main DataSet'!$L315)</f>
        <v>2024</v>
      </c>
      <c r="Q315">
        <f>MONTH('Main DataSet'!$L315)</f>
        <v>10</v>
      </c>
      <c r="R315" t="str">
        <f>TEXT('Main DataSet'!$L315,"MM-YYYY")</f>
        <v>10-2024</v>
      </c>
    </row>
    <row r="316" spans="1:18" ht="15.75" customHeight="1" x14ac:dyDescent="0.2">
      <c r="A316" t="s">
        <v>718</v>
      </c>
      <c r="B316">
        <v>111146</v>
      </c>
      <c r="C316" t="s">
        <v>719</v>
      </c>
      <c r="D316">
        <v>555859409829</v>
      </c>
      <c r="E316" t="s">
        <v>91</v>
      </c>
      <c r="F316" t="s">
        <v>130</v>
      </c>
      <c r="G316" t="s">
        <v>131</v>
      </c>
      <c r="H316" t="s">
        <v>67</v>
      </c>
      <c r="I316" t="s">
        <v>38</v>
      </c>
      <c r="J316">
        <v>67907.710000000006</v>
      </c>
      <c r="K316" t="s">
        <v>23</v>
      </c>
      <c r="L316" s="2">
        <v>45829</v>
      </c>
      <c r="M316" t="s">
        <v>24</v>
      </c>
      <c r="N316">
        <v>400650.52</v>
      </c>
      <c r="O316" t="s">
        <v>25</v>
      </c>
      <c r="P316">
        <f>YEAR('Main DataSet'!$L316)</f>
        <v>2025</v>
      </c>
      <c r="Q316">
        <f>MONTH('Main DataSet'!$L316)</f>
        <v>6</v>
      </c>
      <c r="R316" t="str">
        <f>TEXT('Main DataSet'!$L316,"MM-YYYY")</f>
        <v>06-2025</v>
      </c>
    </row>
    <row r="317" spans="1:18" ht="15.75" customHeight="1" x14ac:dyDescent="0.2">
      <c r="A317" t="s">
        <v>720</v>
      </c>
      <c r="B317">
        <v>479530</v>
      </c>
      <c r="C317" t="s">
        <v>721</v>
      </c>
      <c r="D317">
        <v>724249667582</v>
      </c>
      <c r="E317" t="s">
        <v>91</v>
      </c>
      <c r="F317" t="s">
        <v>105</v>
      </c>
      <c r="G317" t="s">
        <v>106</v>
      </c>
      <c r="H317" t="s">
        <v>67</v>
      </c>
      <c r="I317" t="s">
        <v>38</v>
      </c>
      <c r="J317">
        <v>7625.81</v>
      </c>
      <c r="K317" t="s">
        <v>32</v>
      </c>
      <c r="L317" s="2">
        <v>45374</v>
      </c>
      <c r="M317" t="s">
        <v>24</v>
      </c>
      <c r="N317">
        <v>788581.85</v>
      </c>
      <c r="O317" t="s">
        <v>25</v>
      </c>
      <c r="P317">
        <f>YEAR('Main DataSet'!$L317)</f>
        <v>2024</v>
      </c>
      <c r="Q317">
        <f>MONTH('Main DataSet'!$L317)</f>
        <v>3</v>
      </c>
      <c r="R317" t="str">
        <f>TEXT('Main DataSet'!$L317,"MM-YYYY")</f>
        <v>03-2024</v>
      </c>
    </row>
    <row r="318" spans="1:18" ht="15.75" customHeight="1" x14ac:dyDescent="0.2">
      <c r="A318" t="s">
        <v>722</v>
      </c>
      <c r="B318">
        <v>937519</v>
      </c>
      <c r="C318" t="s">
        <v>723</v>
      </c>
      <c r="D318">
        <v>902094706216</v>
      </c>
      <c r="E318" t="s">
        <v>64</v>
      </c>
      <c r="F318" t="s">
        <v>166</v>
      </c>
      <c r="G318" t="s">
        <v>167</v>
      </c>
      <c r="H318" t="s">
        <v>31</v>
      </c>
      <c r="I318" t="s">
        <v>22</v>
      </c>
      <c r="J318">
        <v>24749.02</v>
      </c>
      <c r="K318" t="s">
        <v>39</v>
      </c>
      <c r="L318" s="2">
        <v>45708</v>
      </c>
      <c r="M318" t="s">
        <v>24</v>
      </c>
      <c r="N318">
        <v>239240.66</v>
      </c>
      <c r="O318" t="s">
        <v>25</v>
      </c>
      <c r="P318">
        <f>YEAR('Main DataSet'!$L318)</f>
        <v>2025</v>
      </c>
      <c r="Q318">
        <f>MONTH('Main DataSet'!$L318)</f>
        <v>2</v>
      </c>
      <c r="R318" t="str">
        <f>TEXT('Main DataSet'!$L318,"MM-YYYY")</f>
        <v>02-2025</v>
      </c>
    </row>
    <row r="319" spans="1:18" ht="15.75" customHeight="1" x14ac:dyDescent="0.2">
      <c r="A319" t="s">
        <v>724</v>
      </c>
      <c r="B319">
        <v>557246</v>
      </c>
      <c r="C319" t="s">
        <v>725</v>
      </c>
      <c r="D319">
        <v>565539620553</v>
      </c>
      <c r="E319" t="s">
        <v>18</v>
      </c>
      <c r="F319" t="s">
        <v>19</v>
      </c>
      <c r="G319" t="s">
        <v>20</v>
      </c>
      <c r="H319" t="s">
        <v>70</v>
      </c>
      <c r="I319" t="s">
        <v>38</v>
      </c>
      <c r="J319">
        <v>46462.29</v>
      </c>
      <c r="K319" t="s">
        <v>98</v>
      </c>
      <c r="L319" s="2">
        <v>45608</v>
      </c>
      <c r="M319" t="s">
        <v>24</v>
      </c>
      <c r="N319">
        <v>1272270</v>
      </c>
      <c r="O319" t="s">
        <v>25</v>
      </c>
      <c r="P319">
        <f>YEAR('Main DataSet'!$L319)</f>
        <v>2024</v>
      </c>
      <c r="Q319">
        <f>MONTH('Main DataSet'!$L319)</f>
        <v>11</v>
      </c>
      <c r="R319" t="str">
        <f>TEXT('Main DataSet'!$L319,"MM-YYYY")</f>
        <v>11-2024</v>
      </c>
    </row>
    <row r="320" spans="1:18" ht="15.75" customHeight="1" x14ac:dyDescent="0.2">
      <c r="A320" t="s">
        <v>726</v>
      </c>
      <c r="B320">
        <v>959323</v>
      </c>
      <c r="C320" t="s">
        <v>727</v>
      </c>
      <c r="D320">
        <v>432335197720</v>
      </c>
      <c r="E320" t="s">
        <v>28</v>
      </c>
      <c r="F320" t="s">
        <v>150</v>
      </c>
      <c r="G320" t="s">
        <v>151</v>
      </c>
      <c r="H320" t="s">
        <v>21</v>
      </c>
      <c r="I320" t="s">
        <v>53</v>
      </c>
      <c r="J320">
        <v>306121.71000000002</v>
      </c>
      <c r="K320" t="s">
        <v>49</v>
      </c>
      <c r="L320" s="2">
        <v>45338</v>
      </c>
      <c r="M320" t="s">
        <v>24</v>
      </c>
      <c r="N320">
        <v>648457.01</v>
      </c>
      <c r="O320" t="s">
        <v>25</v>
      </c>
      <c r="P320">
        <f>YEAR('Main DataSet'!$L320)</f>
        <v>2024</v>
      </c>
      <c r="Q320">
        <f>MONTH('Main DataSet'!$L320)</f>
        <v>2</v>
      </c>
      <c r="R320" t="str">
        <f>TEXT('Main DataSet'!$L320,"MM-YYYY")</f>
        <v>02-2024</v>
      </c>
    </row>
    <row r="321" spans="1:18" ht="15.75" customHeight="1" x14ac:dyDescent="0.2">
      <c r="A321" t="s">
        <v>728</v>
      </c>
      <c r="B321">
        <v>931835</v>
      </c>
      <c r="C321" t="s">
        <v>729</v>
      </c>
      <c r="D321">
        <v>130206487294</v>
      </c>
      <c r="E321" t="s">
        <v>35</v>
      </c>
      <c r="F321" t="s">
        <v>73</v>
      </c>
      <c r="G321" t="s">
        <v>74</v>
      </c>
      <c r="H321" t="s">
        <v>67</v>
      </c>
      <c r="I321" t="s">
        <v>38</v>
      </c>
      <c r="J321">
        <v>26846.38</v>
      </c>
      <c r="K321" t="s">
        <v>32</v>
      </c>
      <c r="L321" s="2">
        <v>45716</v>
      </c>
      <c r="M321" t="s">
        <v>24</v>
      </c>
      <c r="N321">
        <v>278385.8</v>
      </c>
      <c r="O321" t="s">
        <v>25</v>
      </c>
      <c r="P321">
        <f>YEAR('Main DataSet'!$L321)</f>
        <v>2025</v>
      </c>
      <c r="Q321">
        <f>MONTH('Main DataSet'!$L321)</f>
        <v>2</v>
      </c>
      <c r="R321" t="str">
        <f>TEXT('Main DataSet'!$L321,"MM-YYYY")</f>
        <v>02-2025</v>
      </c>
    </row>
    <row r="322" spans="1:18" ht="15.75" customHeight="1" x14ac:dyDescent="0.2">
      <c r="A322" t="s">
        <v>730</v>
      </c>
      <c r="B322">
        <v>181715</v>
      </c>
      <c r="C322" t="s">
        <v>731</v>
      </c>
      <c r="D322">
        <v>924632714359</v>
      </c>
      <c r="E322" t="s">
        <v>18</v>
      </c>
      <c r="F322" t="s">
        <v>19</v>
      </c>
      <c r="G322" t="s">
        <v>20</v>
      </c>
      <c r="H322" t="s">
        <v>31</v>
      </c>
      <c r="I322" t="s">
        <v>22</v>
      </c>
      <c r="J322">
        <v>181640.7</v>
      </c>
      <c r="K322" t="s">
        <v>98</v>
      </c>
      <c r="L322" s="2">
        <v>45537</v>
      </c>
      <c r="M322" t="s">
        <v>24</v>
      </c>
      <c r="N322">
        <v>458407.24</v>
      </c>
      <c r="O322" t="s">
        <v>25</v>
      </c>
      <c r="P322">
        <f>YEAR('Main DataSet'!$L322)</f>
        <v>2024</v>
      </c>
      <c r="Q322">
        <f>MONTH('Main DataSet'!$L322)</f>
        <v>9</v>
      </c>
      <c r="R322" t="str">
        <f>TEXT('Main DataSet'!$L322,"MM-YYYY")</f>
        <v>09-2024</v>
      </c>
    </row>
    <row r="323" spans="1:18" ht="15.75" customHeight="1" x14ac:dyDescent="0.2">
      <c r="A323" t="s">
        <v>732</v>
      </c>
      <c r="B323">
        <v>300670</v>
      </c>
      <c r="C323" t="s">
        <v>733</v>
      </c>
      <c r="D323">
        <v>477182324308</v>
      </c>
      <c r="E323" t="s">
        <v>91</v>
      </c>
      <c r="F323" t="s">
        <v>105</v>
      </c>
      <c r="G323" t="s">
        <v>106</v>
      </c>
      <c r="H323" t="s">
        <v>70</v>
      </c>
      <c r="I323" t="s">
        <v>53</v>
      </c>
      <c r="J323">
        <v>17763.02</v>
      </c>
      <c r="K323" t="s">
        <v>98</v>
      </c>
      <c r="L323" s="2">
        <v>45413</v>
      </c>
      <c r="M323" t="s">
        <v>24</v>
      </c>
      <c r="N323">
        <v>841969.9</v>
      </c>
      <c r="O323" t="s">
        <v>25</v>
      </c>
      <c r="P323">
        <f>YEAR('Main DataSet'!$L323)</f>
        <v>2024</v>
      </c>
      <c r="Q323">
        <f>MONTH('Main DataSet'!$L323)</f>
        <v>5</v>
      </c>
      <c r="R323" t="str">
        <f>TEXT('Main DataSet'!$L323,"MM-YYYY")</f>
        <v>05-2024</v>
      </c>
    </row>
    <row r="324" spans="1:18" ht="15.75" customHeight="1" x14ac:dyDescent="0.2">
      <c r="A324" t="s">
        <v>734</v>
      </c>
      <c r="B324">
        <v>405161</v>
      </c>
      <c r="C324" t="s">
        <v>735</v>
      </c>
      <c r="D324">
        <v>476384442388</v>
      </c>
      <c r="E324" t="s">
        <v>91</v>
      </c>
      <c r="F324" t="s">
        <v>109</v>
      </c>
      <c r="G324" t="s">
        <v>110</v>
      </c>
      <c r="H324" t="s">
        <v>67</v>
      </c>
      <c r="I324" t="s">
        <v>22</v>
      </c>
      <c r="J324">
        <v>367978.86</v>
      </c>
      <c r="K324" t="s">
        <v>23</v>
      </c>
      <c r="L324" s="2">
        <v>45248</v>
      </c>
      <c r="M324" t="s">
        <v>24</v>
      </c>
      <c r="N324">
        <v>840788.77</v>
      </c>
      <c r="O324" t="s">
        <v>25</v>
      </c>
      <c r="P324">
        <f>YEAR('Main DataSet'!$L324)</f>
        <v>2023</v>
      </c>
      <c r="Q324">
        <f>MONTH('Main DataSet'!$L324)</f>
        <v>11</v>
      </c>
      <c r="R324" t="str">
        <f>TEXT('Main DataSet'!$L324,"MM-YYYY")</f>
        <v>11-2023</v>
      </c>
    </row>
    <row r="325" spans="1:18" ht="15.75" customHeight="1" x14ac:dyDescent="0.2">
      <c r="A325" t="s">
        <v>736</v>
      </c>
      <c r="B325">
        <v>981665</v>
      </c>
      <c r="C325" t="s">
        <v>737</v>
      </c>
      <c r="D325">
        <v>126907120490</v>
      </c>
      <c r="E325" t="s">
        <v>35</v>
      </c>
      <c r="F325" t="s">
        <v>136</v>
      </c>
      <c r="G325" t="s">
        <v>137</v>
      </c>
      <c r="H325" t="s">
        <v>31</v>
      </c>
      <c r="I325" t="s">
        <v>22</v>
      </c>
      <c r="J325">
        <v>212325.1</v>
      </c>
      <c r="K325" t="s">
        <v>23</v>
      </c>
      <c r="L325" s="2">
        <v>45761</v>
      </c>
      <c r="M325" t="s">
        <v>24</v>
      </c>
      <c r="N325">
        <v>1118140.79</v>
      </c>
      <c r="O325" t="s">
        <v>25</v>
      </c>
      <c r="P325">
        <f>YEAR('Main DataSet'!$L325)</f>
        <v>2025</v>
      </c>
      <c r="Q325">
        <f>MONTH('Main DataSet'!$L325)</f>
        <v>4</v>
      </c>
      <c r="R325" t="str">
        <f>TEXT('Main DataSet'!$L325,"MM-YYYY")</f>
        <v>04-2025</v>
      </c>
    </row>
    <row r="326" spans="1:18" ht="15.75" customHeight="1" x14ac:dyDescent="0.2">
      <c r="A326" t="s">
        <v>738</v>
      </c>
      <c r="B326">
        <v>355753</v>
      </c>
      <c r="C326" t="s">
        <v>739</v>
      </c>
      <c r="D326">
        <v>882143942859</v>
      </c>
      <c r="E326" t="s">
        <v>18</v>
      </c>
      <c r="F326" t="s">
        <v>87</v>
      </c>
      <c r="G326" t="s">
        <v>88</v>
      </c>
      <c r="H326" t="s">
        <v>21</v>
      </c>
      <c r="I326" t="s">
        <v>38</v>
      </c>
      <c r="J326">
        <v>47698.28</v>
      </c>
      <c r="K326" t="s">
        <v>32</v>
      </c>
      <c r="L326" s="2">
        <v>45434</v>
      </c>
      <c r="M326" t="s">
        <v>24</v>
      </c>
      <c r="N326">
        <v>642724.73</v>
      </c>
      <c r="O326" t="s">
        <v>25</v>
      </c>
      <c r="P326">
        <f>YEAR('Main DataSet'!$L326)</f>
        <v>2024</v>
      </c>
      <c r="Q326">
        <f>MONTH('Main DataSet'!$L326)</f>
        <v>5</v>
      </c>
      <c r="R326" t="str">
        <f>TEXT('Main DataSet'!$L326,"MM-YYYY")</f>
        <v>05-2024</v>
      </c>
    </row>
    <row r="327" spans="1:18" ht="15.75" customHeight="1" x14ac:dyDescent="0.2">
      <c r="A327" t="s">
        <v>740</v>
      </c>
      <c r="B327">
        <v>159266</v>
      </c>
      <c r="C327" t="s">
        <v>741</v>
      </c>
      <c r="D327">
        <v>133268629842</v>
      </c>
      <c r="E327" t="s">
        <v>28</v>
      </c>
      <c r="F327" t="s">
        <v>79</v>
      </c>
      <c r="G327" t="s">
        <v>80</v>
      </c>
      <c r="H327" t="s">
        <v>70</v>
      </c>
      <c r="I327" t="s">
        <v>48</v>
      </c>
      <c r="J327">
        <v>163974.37</v>
      </c>
      <c r="K327" t="s">
        <v>23</v>
      </c>
      <c r="L327" s="2">
        <v>45618</v>
      </c>
      <c r="M327" t="s">
        <v>24</v>
      </c>
      <c r="N327">
        <v>2009108.15</v>
      </c>
      <c r="O327" t="s">
        <v>25</v>
      </c>
      <c r="P327">
        <f>YEAR('Main DataSet'!$L327)</f>
        <v>2024</v>
      </c>
      <c r="Q327">
        <f>MONTH('Main DataSet'!$L327)</f>
        <v>11</v>
      </c>
      <c r="R327" t="str">
        <f>TEXT('Main DataSet'!$L327,"MM-YYYY")</f>
        <v>11-2024</v>
      </c>
    </row>
    <row r="328" spans="1:18" ht="15.75" customHeight="1" x14ac:dyDescent="0.2">
      <c r="A328" t="s">
        <v>742</v>
      </c>
      <c r="B328">
        <v>879301</v>
      </c>
      <c r="C328" t="s">
        <v>743</v>
      </c>
      <c r="D328">
        <v>433805514591</v>
      </c>
      <c r="E328" t="s">
        <v>35</v>
      </c>
      <c r="F328" t="s">
        <v>42</v>
      </c>
      <c r="G328" t="s">
        <v>43</v>
      </c>
      <c r="H328" t="s">
        <v>67</v>
      </c>
      <c r="I328" t="s">
        <v>22</v>
      </c>
      <c r="J328">
        <v>189190.47</v>
      </c>
      <c r="K328" t="s">
        <v>39</v>
      </c>
      <c r="L328" s="2">
        <v>45599</v>
      </c>
      <c r="M328" t="s">
        <v>24</v>
      </c>
      <c r="N328">
        <v>1036192.27</v>
      </c>
      <c r="O328" t="s">
        <v>25</v>
      </c>
      <c r="P328">
        <f>YEAR('Main DataSet'!$L328)</f>
        <v>2024</v>
      </c>
      <c r="Q328">
        <f>MONTH('Main DataSet'!$L328)</f>
        <v>11</v>
      </c>
      <c r="R328" t="str">
        <f>TEXT('Main DataSet'!$L328,"MM-YYYY")</f>
        <v>11-2024</v>
      </c>
    </row>
    <row r="329" spans="1:18" ht="15.75" customHeight="1" x14ac:dyDescent="0.2">
      <c r="A329" t="s">
        <v>744</v>
      </c>
      <c r="B329">
        <v>116476</v>
      </c>
      <c r="C329" t="s">
        <v>745</v>
      </c>
      <c r="D329">
        <v>406498403510</v>
      </c>
      <c r="E329" t="s">
        <v>91</v>
      </c>
      <c r="F329" t="s">
        <v>162</v>
      </c>
      <c r="G329" t="s">
        <v>163</v>
      </c>
      <c r="H329" t="s">
        <v>31</v>
      </c>
      <c r="I329" t="s">
        <v>53</v>
      </c>
      <c r="J329">
        <v>129890.57</v>
      </c>
      <c r="K329" t="s">
        <v>23</v>
      </c>
      <c r="L329" s="2">
        <v>45598</v>
      </c>
      <c r="M329" t="s">
        <v>24</v>
      </c>
      <c r="N329">
        <v>1438950.54</v>
      </c>
      <c r="O329" t="s">
        <v>25</v>
      </c>
      <c r="P329">
        <f>YEAR('Main DataSet'!$L329)</f>
        <v>2024</v>
      </c>
      <c r="Q329">
        <f>MONTH('Main DataSet'!$L329)</f>
        <v>11</v>
      </c>
      <c r="R329" t="str">
        <f>TEXT('Main DataSet'!$L329,"MM-YYYY")</f>
        <v>11-2024</v>
      </c>
    </row>
    <row r="330" spans="1:18" ht="15.75" customHeight="1" x14ac:dyDescent="0.2">
      <c r="A330" t="s">
        <v>746</v>
      </c>
      <c r="B330">
        <v>981915</v>
      </c>
      <c r="C330" t="s">
        <v>747</v>
      </c>
      <c r="D330">
        <v>577554548613</v>
      </c>
      <c r="E330" t="s">
        <v>28</v>
      </c>
      <c r="F330" t="s">
        <v>150</v>
      </c>
      <c r="G330" t="s">
        <v>151</v>
      </c>
      <c r="H330" t="s">
        <v>31</v>
      </c>
      <c r="I330" t="s">
        <v>48</v>
      </c>
      <c r="J330">
        <v>254514.65</v>
      </c>
      <c r="K330" t="s">
        <v>49</v>
      </c>
      <c r="L330" s="2">
        <v>45153</v>
      </c>
      <c r="M330" t="s">
        <v>24</v>
      </c>
      <c r="N330">
        <v>318461.15000000002</v>
      </c>
      <c r="O330" t="s">
        <v>25</v>
      </c>
      <c r="P330">
        <f>YEAR('Main DataSet'!$L330)</f>
        <v>2023</v>
      </c>
      <c r="Q330">
        <f>MONTH('Main DataSet'!$L330)</f>
        <v>8</v>
      </c>
      <c r="R330" t="str">
        <f>TEXT('Main DataSet'!$L330,"MM-YYYY")</f>
        <v>08-2023</v>
      </c>
    </row>
    <row r="331" spans="1:18" ht="15.75" customHeight="1" x14ac:dyDescent="0.2">
      <c r="A331" t="s">
        <v>748</v>
      </c>
      <c r="B331">
        <v>569629</v>
      </c>
      <c r="C331" t="s">
        <v>749</v>
      </c>
      <c r="D331">
        <v>884210811039</v>
      </c>
      <c r="E331" t="s">
        <v>64</v>
      </c>
      <c r="F331" t="s">
        <v>166</v>
      </c>
      <c r="G331" t="s">
        <v>167</v>
      </c>
      <c r="H331" t="s">
        <v>31</v>
      </c>
      <c r="I331" t="s">
        <v>38</v>
      </c>
      <c r="J331">
        <v>95419.02</v>
      </c>
      <c r="K331" t="s">
        <v>98</v>
      </c>
      <c r="L331" s="2">
        <v>45185</v>
      </c>
      <c r="M331" t="s">
        <v>24</v>
      </c>
      <c r="N331">
        <v>167769.03</v>
      </c>
      <c r="O331" t="s">
        <v>25</v>
      </c>
      <c r="P331">
        <f>YEAR('Main DataSet'!$L331)</f>
        <v>2023</v>
      </c>
      <c r="Q331">
        <f>MONTH('Main DataSet'!$L331)</f>
        <v>9</v>
      </c>
      <c r="R331" t="str">
        <f>TEXT('Main DataSet'!$L331,"MM-YYYY")</f>
        <v>09-2023</v>
      </c>
    </row>
    <row r="332" spans="1:18" ht="15.75" customHeight="1" x14ac:dyDescent="0.2">
      <c r="A332" t="s">
        <v>750</v>
      </c>
      <c r="B332">
        <v>143218</v>
      </c>
      <c r="C332" t="s">
        <v>751</v>
      </c>
      <c r="D332">
        <v>428200261572</v>
      </c>
      <c r="E332" t="s">
        <v>35</v>
      </c>
      <c r="F332" t="s">
        <v>136</v>
      </c>
      <c r="G332" t="s">
        <v>137</v>
      </c>
      <c r="H332" t="s">
        <v>67</v>
      </c>
      <c r="I332" t="s">
        <v>38</v>
      </c>
      <c r="J332">
        <v>58414.13</v>
      </c>
      <c r="K332" t="s">
        <v>98</v>
      </c>
      <c r="L332" s="2">
        <v>45835</v>
      </c>
      <c r="M332" t="s">
        <v>24</v>
      </c>
      <c r="N332">
        <v>918862.34</v>
      </c>
      <c r="O332" t="s">
        <v>25</v>
      </c>
      <c r="P332">
        <f>YEAR('Main DataSet'!$L332)</f>
        <v>2025</v>
      </c>
      <c r="Q332">
        <f>MONTH('Main DataSet'!$L332)</f>
        <v>6</v>
      </c>
      <c r="R332" t="str">
        <f>TEXT('Main DataSet'!$L332,"MM-YYYY")</f>
        <v>06-2025</v>
      </c>
    </row>
    <row r="333" spans="1:18" ht="15.75" customHeight="1" x14ac:dyDescent="0.2">
      <c r="A333" t="s">
        <v>752</v>
      </c>
      <c r="B333">
        <v>985381</v>
      </c>
      <c r="C333" t="s">
        <v>753</v>
      </c>
      <c r="D333">
        <v>113639393827</v>
      </c>
      <c r="E333" t="s">
        <v>91</v>
      </c>
      <c r="F333" t="s">
        <v>109</v>
      </c>
      <c r="G333" t="s">
        <v>110</v>
      </c>
      <c r="H333" t="s">
        <v>31</v>
      </c>
      <c r="I333" t="s">
        <v>53</v>
      </c>
      <c r="J333">
        <v>469814.95</v>
      </c>
      <c r="K333" t="s">
        <v>49</v>
      </c>
      <c r="L333" s="2">
        <v>45131</v>
      </c>
      <c r="M333" t="s">
        <v>50</v>
      </c>
      <c r="N333">
        <v>1904176.83</v>
      </c>
      <c r="O333" t="s">
        <v>25</v>
      </c>
      <c r="P333">
        <f>YEAR('Main DataSet'!$L333)</f>
        <v>2023</v>
      </c>
      <c r="Q333">
        <f>MONTH('Main DataSet'!$L333)</f>
        <v>7</v>
      </c>
      <c r="R333" t="str">
        <f>TEXT('Main DataSet'!$L333,"MM-YYYY")</f>
        <v>07-2023</v>
      </c>
    </row>
    <row r="334" spans="1:18" ht="15.75" customHeight="1" x14ac:dyDescent="0.2">
      <c r="A334" t="s">
        <v>754</v>
      </c>
      <c r="B334">
        <v>894517</v>
      </c>
      <c r="C334" t="s">
        <v>755</v>
      </c>
      <c r="D334">
        <v>633651930756</v>
      </c>
      <c r="E334" t="s">
        <v>28</v>
      </c>
      <c r="F334" t="s">
        <v>216</v>
      </c>
      <c r="G334" t="s">
        <v>217</v>
      </c>
      <c r="H334" t="s">
        <v>21</v>
      </c>
      <c r="I334" t="s">
        <v>53</v>
      </c>
      <c r="J334">
        <v>202988.35</v>
      </c>
      <c r="K334" t="s">
        <v>39</v>
      </c>
      <c r="L334" s="2">
        <v>45268</v>
      </c>
      <c r="M334" t="s">
        <v>24</v>
      </c>
      <c r="N334">
        <v>1426448.54</v>
      </c>
      <c r="O334" t="s">
        <v>25</v>
      </c>
      <c r="P334">
        <f>YEAR('Main DataSet'!$L334)</f>
        <v>2023</v>
      </c>
      <c r="Q334">
        <f>MONTH('Main DataSet'!$L334)</f>
        <v>12</v>
      </c>
      <c r="R334" t="str">
        <f>TEXT('Main DataSet'!$L334,"MM-YYYY")</f>
        <v>12-2023</v>
      </c>
    </row>
    <row r="335" spans="1:18" ht="15.75" customHeight="1" x14ac:dyDescent="0.2">
      <c r="A335" t="s">
        <v>756</v>
      </c>
      <c r="B335">
        <v>179518</v>
      </c>
      <c r="C335" t="s">
        <v>757</v>
      </c>
      <c r="D335">
        <v>388268391021</v>
      </c>
      <c r="E335" t="s">
        <v>35</v>
      </c>
      <c r="F335" t="s">
        <v>60</v>
      </c>
      <c r="G335" t="s">
        <v>61</v>
      </c>
      <c r="H335" t="s">
        <v>31</v>
      </c>
      <c r="I335" t="s">
        <v>38</v>
      </c>
      <c r="J335">
        <v>68829.84</v>
      </c>
      <c r="K335" t="s">
        <v>32</v>
      </c>
      <c r="L335" s="2">
        <v>45705</v>
      </c>
      <c r="M335" t="s">
        <v>24</v>
      </c>
      <c r="N335">
        <v>5539.5400000000081</v>
      </c>
      <c r="O335" t="s">
        <v>25</v>
      </c>
      <c r="P335">
        <f>YEAR('Main DataSet'!$L335)</f>
        <v>2025</v>
      </c>
      <c r="Q335">
        <f>MONTH('Main DataSet'!$L335)</f>
        <v>2</v>
      </c>
      <c r="R335" t="str">
        <f>TEXT('Main DataSet'!$L335,"MM-YYYY")</f>
        <v>02-2025</v>
      </c>
    </row>
    <row r="336" spans="1:18" ht="15.75" customHeight="1" x14ac:dyDescent="0.2">
      <c r="A336" t="s">
        <v>758</v>
      </c>
      <c r="B336">
        <v>224498</v>
      </c>
      <c r="C336" t="s">
        <v>759</v>
      </c>
      <c r="D336">
        <v>600039500647</v>
      </c>
      <c r="E336" t="s">
        <v>28</v>
      </c>
      <c r="F336" t="s">
        <v>29</v>
      </c>
      <c r="G336" t="s">
        <v>30</v>
      </c>
      <c r="H336" t="s">
        <v>67</v>
      </c>
      <c r="I336" t="s">
        <v>22</v>
      </c>
      <c r="J336">
        <v>276312.31</v>
      </c>
      <c r="K336" t="s">
        <v>39</v>
      </c>
      <c r="L336" s="2">
        <v>45644</v>
      </c>
      <c r="M336" t="s">
        <v>24</v>
      </c>
      <c r="N336">
        <v>696392.16999999993</v>
      </c>
      <c r="O336" t="s">
        <v>25</v>
      </c>
      <c r="P336">
        <f>YEAR('Main DataSet'!$L336)</f>
        <v>2024</v>
      </c>
      <c r="Q336">
        <f>MONTH('Main DataSet'!$L336)</f>
        <v>12</v>
      </c>
      <c r="R336" t="str">
        <f>TEXT('Main DataSet'!$L336,"MM-YYYY")</f>
        <v>12-2024</v>
      </c>
    </row>
    <row r="337" spans="1:18" ht="15.75" customHeight="1" x14ac:dyDescent="0.2">
      <c r="A337" t="s">
        <v>760</v>
      </c>
      <c r="B337">
        <v>373993</v>
      </c>
      <c r="C337" t="s">
        <v>761</v>
      </c>
      <c r="D337">
        <v>434312755539</v>
      </c>
      <c r="E337" t="s">
        <v>91</v>
      </c>
      <c r="F337" t="s">
        <v>109</v>
      </c>
      <c r="G337" t="s">
        <v>110</v>
      </c>
      <c r="H337" t="s">
        <v>31</v>
      </c>
      <c r="I337" t="s">
        <v>38</v>
      </c>
      <c r="J337">
        <v>7769.1</v>
      </c>
      <c r="K337" t="s">
        <v>32</v>
      </c>
      <c r="L337" s="2">
        <v>45686</v>
      </c>
      <c r="M337" t="s">
        <v>24</v>
      </c>
      <c r="N337">
        <v>89554.579999999987</v>
      </c>
      <c r="O337" t="s">
        <v>25</v>
      </c>
      <c r="P337">
        <f>YEAR('Main DataSet'!$L337)</f>
        <v>2025</v>
      </c>
      <c r="Q337">
        <f>MONTH('Main DataSet'!$L337)</f>
        <v>1</v>
      </c>
      <c r="R337" t="str">
        <f>TEXT('Main DataSet'!$L337,"MM-YYYY")</f>
        <v>01-2025</v>
      </c>
    </row>
    <row r="338" spans="1:18" ht="15.75" customHeight="1" x14ac:dyDescent="0.2">
      <c r="A338" t="s">
        <v>762</v>
      </c>
      <c r="B338">
        <v>445390</v>
      </c>
      <c r="C338" t="s">
        <v>763</v>
      </c>
      <c r="D338">
        <v>834906079344</v>
      </c>
      <c r="E338" t="s">
        <v>64</v>
      </c>
      <c r="F338" t="s">
        <v>177</v>
      </c>
      <c r="G338" t="s">
        <v>178</v>
      </c>
      <c r="H338" t="s">
        <v>21</v>
      </c>
      <c r="I338" t="s">
        <v>22</v>
      </c>
      <c r="J338">
        <v>496927.6</v>
      </c>
      <c r="K338" t="s">
        <v>98</v>
      </c>
      <c r="L338" s="2">
        <v>45818</v>
      </c>
      <c r="M338" t="s">
        <v>24</v>
      </c>
      <c r="N338">
        <v>1643914.5</v>
      </c>
      <c r="O338" t="s">
        <v>25</v>
      </c>
      <c r="P338">
        <f>YEAR('Main DataSet'!$L338)</f>
        <v>2025</v>
      </c>
      <c r="Q338">
        <f>MONTH('Main DataSet'!$L338)</f>
        <v>6</v>
      </c>
      <c r="R338" t="str">
        <f>TEXT('Main DataSet'!$L338,"MM-YYYY")</f>
        <v>06-2025</v>
      </c>
    </row>
    <row r="339" spans="1:18" ht="15.75" customHeight="1" x14ac:dyDescent="0.2">
      <c r="A339" t="s">
        <v>764</v>
      </c>
      <c r="B339">
        <v>392598</v>
      </c>
      <c r="C339" t="s">
        <v>765</v>
      </c>
      <c r="D339">
        <v>507228613971</v>
      </c>
      <c r="E339" t="s">
        <v>91</v>
      </c>
      <c r="F339" t="s">
        <v>109</v>
      </c>
      <c r="G339" t="s">
        <v>110</v>
      </c>
      <c r="H339" t="s">
        <v>21</v>
      </c>
      <c r="I339" t="s">
        <v>38</v>
      </c>
      <c r="J339">
        <v>26907.46</v>
      </c>
      <c r="K339" t="s">
        <v>98</v>
      </c>
      <c r="L339" s="2">
        <v>45679</v>
      </c>
      <c r="M339" t="s">
        <v>24</v>
      </c>
      <c r="N339">
        <v>1359303.82</v>
      </c>
      <c r="O339" t="s">
        <v>25</v>
      </c>
      <c r="P339">
        <f>YEAR('Main DataSet'!$L339)</f>
        <v>2025</v>
      </c>
      <c r="Q339">
        <f>MONTH('Main DataSet'!$L339)</f>
        <v>1</v>
      </c>
      <c r="R339" t="str">
        <f>TEXT('Main DataSet'!$L339,"MM-YYYY")</f>
        <v>01-2025</v>
      </c>
    </row>
    <row r="340" spans="1:18" ht="15.75" customHeight="1" x14ac:dyDescent="0.2">
      <c r="A340" t="s">
        <v>766</v>
      </c>
      <c r="B340">
        <v>627322</v>
      </c>
      <c r="C340" t="s">
        <v>767</v>
      </c>
      <c r="D340">
        <v>197653048874</v>
      </c>
      <c r="E340" t="s">
        <v>91</v>
      </c>
      <c r="F340" t="s">
        <v>162</v>
      </c>
      <c r="G340" t="s">
        <v>163</v>
      </c>
      <c r="H340" t="s">
        <v>31</v>
      </c>
      <c r="I340" t="s">
        <v>53</v>
      </c>
      <c r="J340">
        <v>381840.68</v>
      </c>
      <c r="K340" t="s">
        <v>49</v>
      </c>
      <c r="L340" s="2">
        <v>45548</v>
      </c>
      <c r="M340" t="s">
        <v>50</v>
      </c>
      <c r="N340">
        <v>1996331.03</v>
      </c>
      <c r="O340" t="s">
        <v>25</v>
      </c>
      <c r="P340">
        <f>YEAR('Main DataSet'!$L340)</f>
        <v>2024</v>
      </c>
      <c r="Q340">
        <f>MONTH('Main DataSet'!$L340)</f>
        <v>9</v>
      </c>
      <c r="R340" t="str">
        <f>TEXT('Main DataSet'!$L340,"MM-YYYY")</f>
        <v>09-2024</v>
      </c>
    </row>
    <row r="341" spans="1:18" ht="15.75" customHeight="1" x14ac:dyDescent="0.2">
      <c r="A341" t="s">
        <v>768</v>
      </c>
      <c r="B341">
        <v>674507</v>
      </c>
      <c r="C341" t="s">
        <v>769</v>
      </c>
      <c r="D341">
        <v>365343466726</v>
      </c>
      <c r="E341" t="s">
        <v>35</v>
      </c>
      <c r="F341" t="s">
        <v>73</v>
      </c>
      <c r="G341" t="s">
        <v>74</v>
      </c>
      <c r="H341" t="s">
        <v>70</v>
      </c>
      <c r="I341" t="s">
        <v>48</v>
      </c>
      <c r="J341">
        <v>123684.75</v>
      </c>
      <c r="K341" t="s">
        <v>23</v>
      </c>
      <c r="L341" s="2">
        <v>45376</v>
      </c>
      <c r="M341" t="s">
        <v>24</v>
      </c>
      <c r="N341">
        <v>355220.47999999998</v>
      </c>
      <c r="O341" t="s">
        <v>25</v>
      </c>
      <c r="P341">
        <f>YEAR('Main DataSet'!$L341)</f>
        <v>2024</v>
      </c>
      <c r="Q341">
        <f>MONTH('Main DataSet'!$L341)</f>
        <v>3</v>
      </c>
      <c r="R341" t="str">
        <f>TEXT('Main DataSet'!$L341,"MM-YYYY")</f>
        <v>03-2024</v>
      </c>
    </row>
    <row r="342" spans="1:18" ht="15.75" customHeight="1" x14ac:dyDescent="0.2">
      <c r="A342" t="s">
        <v>770</v>
      </c>
      <c r="B342">
        <v>572980</v>
      </c>
      <c r="C342" t="s">
        <v>771</v>
      </c>
      <c r="D342">
        <v>184613706984</v>
      </c>
      <c r="E342" t="s">
        <v>64</v>
      </c>
      <c r="F342" t="s">
        <v>166</v>
      </c>
      <c r="G342" t="s">
        <v>167</v>
      </c>
      <c r="H342" t="s">
        <v>70</v>
      </c>
      <c r="I342" t="s">
        <v>48</v>
      </c>
      <c r="J342">
        <v>78611.759999999995</v>
      </c>
      <c r="K342" t="s">
        <v>23</v>
      </c>
      <c r="L342" s="2">
        <v>45401</v>
      </c>
      <c r="M342" t="s">
        <v>113</v>
      </c>
      <c r="N342">
        <v>1631486.44</v>
      </c>
      <c r="O342" t="s">
        <v>25</v>
      </c>
      <c r="P342">
        <f>YEAR('Main DataSet'!$L342)</f>
        <v>2024</v>
      </c>
      <c r="Q342">
        <f>MONTH('Main DataSet'!$L342)</f>
        <v>4</v>
      </c>
      <c r="R342" t="str">
        <f>TEXT('Main DataSet'!$L342,"MM-YYYY")</f>
        <v>04-2024</v>
      </c>
    </row>
    <row r="343" spans="1:18" ht="15.75" customHeight="1" x14ac:dyDescent="0.2">
      <c r="A343" t="s">
        <v>772</v>
      </c>
      <c r="B343">
        <v>364377</v>
      </c>
      <c r="C343" t="s">
        <v>773</v>
      </c>
      <c r="D343">
        <v>669037054253</v>
      </c>
      <c r="E343" t="s">
        <v>28</v>
      </c>
      <c r="F343" t="s">
        <v>79</v>
      </c>
      <c r="G343" t="s">
        <v>80</v>
      </c>
      <c r="H343" t="s">
        <v>67</v>
      </c>
      <c r="I343" t="s">
        <v>38</v>
      </c>
      <c r="J343">
        <v>121347.74</v>
      </c>
      <c r="K343" t="s">
        <v>49</v>
      </c>
      <c r="L343" s="2">
        <v>45680</v>
      </c>
      <c r="M343" t="s">
        <v>113</v>
      </c>
      <c r="N343">
        <v>108426.39</v>
      </c>
      <c r="O343" t="s">
        <v>25</v>
      </c>
      <c r="P343">
        <f>YEAR('Main DataSet'!$L343)</f>
        <v>2025</v>
      </c>
      <c r="Q343">
        <f>MONTH('Main DataSet'!$L343)</f>
        <v>1</v>
      </c>
      <c r="R343" t="str">
        <f>TEXT('Main DataSet'!$L343,"MM-YYYY")</f>
        <v>01-2025</v>
      </c>
    </row>
    <row r="344" spans="1:18" ht="15.75" customHeight="1" x14ac:dyDescent="0.2">
      <c r="A344" t="s">
        <v>774</v>
      </c>
      <c r="B344">
        <v>989898</v>
      </c>
      <c r="C344" t="s">
        <v>775</v>
      </c>
      <c r="D344">
        <v>304809259360</v>
      </c>
      <c r="E344" t="s">
        <v>28</v>
      </c>
      <c r="F344" t="s">
        <v>192</v>
      </c>
      <c r="G344" t="s">
        <v>193</v>
      </c>
      <c r="H344" t="s">
        <v>21</v>
      </c>
      <c r="I344" t="s">
        <v>38</v>
      </c>
      <c r="J344">
        <v>51703.81</v>
      </c>
      <c r="K344" t="s">
        <v>49</v>
      </c>
      <c r="L344" s="2">
        <v>45593</v>
      </c>
      <c r="M344" t="s">
        <v>24</v>
      </c>
      <c r="N344">
        <v>641168.51</v>
      </c>
      <c r="O344" t="s">
        <v>25</v>
      </c>
      <c r="P344">
        <f>YEAR('Main DataSet'!$L344)</f>
        <v>2024</v>
      </c>
      <c r="Q344">
        <f>MONTH('Main DataSet'!$L344)</f>
        <v>10</v>
      </c>
      <c r="R344" t="str">
        <f>TEXT('Main DataSet'!$L344,"MM-YYYY")</f>
        <v>10-2024</v>
      </c>
    </row>
    <row r="345" spans="1:18" ht="15.75" customHeight="1" x14ac:dyDescent="0.2">
      <c r="A345" t="s">
        <v>776</v>
      </c>
      <c r="B345">
        <v>390792</v>
      </c>
      <c r="C345" t="s">
        <v>777</v>
      </c>
      <c r="D345">
        <v>815931680958</v>
      </c>
      <c r="E345" t="s">
        <v>18</v>
      </c>
      <c r="F345" t="s">
        <v>46</v>
      </c>
      <c r="G345" t="s">
        <v>47</v>
      </c>
      <c r="H345" t="s">
        <v>31</v>
      </c>
      <c r="I345" t="s">
        <v>48</v>
      </c>
      <c r="J345">
        <v>163533.1</v>
      </c>
      <c r="K345" t="s">
        <v>49</v>
      </c>
      <c r="L345" s="2">
        <v>45679</v>
      </c>
      <c r="M345" t="s">
        <v>24</v>
      </c>
      <c r="N345">
        <v>1859589.9</v>
      </c>
      <c r="O345" t="s">
        <v>25</v>
      </c>
      <c r="P345">
        <f>YEAR('Main DataSet'!$L345)</f>
        <v>2025</v>
      </c>
      <c r="Q345">
        <f>MONTH('Main DataSet'!$L345)</f>
        <v>1</v>
      </c>
      <c r="R345" t="str">
        <f>TEXT('Main DataSet'!$L345,"MM-YYYY")</f>
        <v>01-2025</v>
      </c>
    </row>
    <row r="346" spans="1:18" ht="15.75" customHeight="1" x14ac:dyDescent="0.2">
      <c r="A346" t="s">
        <v>778</v>
      </c>
      <c r="B346">
        <v>409468</v>
      </c>
      <c r="C346" t="s">
        <v>779</v>
      </c>
      <c r="D346">
        <v>385357726132</v>
      </c>
      <c r="E346" t="s">
        <v>28</v>
      </c>
      <c r="F346" t="s">
        <v>192</v>
      </c>
      <c r="G346" t="s">
        <v>193</v>
      </c>
      <c r="H346" t="s">
        <v>21</v>
      </c>
      <c r="I346" t="s">
        <v>48</v>
      </c>
      <c r="J346">
        <v>273026.71000000002</v>
      </c>
      <c r="K346" t="s">
        <v>23</v>
      </c>
      <c r="L346" s="2">
        <v>45473</v>
      </c>
      <c r="M346" t="s">
        <v>24</v>
      </c>
      <c r="N346">
        <v>639598.09000000008</v>
      </c>
      <c r="O346" t="s">
        <v>25</v>
      </c>
      <c r="P346">
        <f>YEAR('Main DataSet'!$L346)</f>
        <v>2024</v>
      </c>
      <c r="Q346">
        <f>MONTH('Main DataSet'!$L346)</f>
        <v>6</v>
      </c>
      <c r="R346" t="str">
        <f>TEXT('Main DataSet'!$L346,"MM-YYYY")</f>
        <v>06-2024</v>
      </c>
    </row>
    <row r="347" spans="1:18" ht="15.75" customHeight="1" x14ac:dyDescent="0.2">
      <c r="A347" t="s">
        <v>780</v>
      </c>
      <c r="B347">
        <v>980642</v>
      </c>
      <c r="C347" t="s">
        <v>781</v>
      </c>
      <c r="D347">
        <v>100768524152</v>
      </c>
      <c r="E347" t="s">
        <v>35</v>
      </c>
      <c r="F347" t="s">
        <v>36</v>
      </c>
      <c r="G347" t="s">
        <v>37</v>
      </c>
      <c r="H347" t="s">
        <v>70</v>
      </c>
      <c r="I347" t="s">
        <v>48</v>
      </c>
      <c r="J347">
        <v>7411.04</v>
      </c>
      <c r="K347" t="s">
        <v>49</v>
      </c>
      <c r="L347" s="2">
        <v>45156</v>
      </c>
      <c r="M347" t="s">
        <v>24</v>
      </c>
      <c r="N347">
        <v>1595355.14</v>
      </c>
      <c r="O347" t="s">
        <v>25</v>
      </c>
      <c r="P347">
        <f>YEAR('Main DataSet'!$L347)</f>
        <v>2023</v>
      </c>
      <c r="Q347">
        <f>MONTH('Main DataSet'!$L347)</f>
        <v>8</v>
      </c>
      <c r="R347" t="str">
        <f>TEXT('Main DataSet'!$L347,"MM-YYYY")</f>
        <v>08-2023</v>
      </c>
    </row>
    <row r="348" spans="1:18" ht="15.75" customHeight="1" x14ac:dyDescent="0.2">
      <c r="A348" t="s">
        <v>782</v>
      </c>
      <c r="B348">
        <v>547953</v>
      </c>
      <c r="C348" t="s">
        <v>783</v>
      </c>
      <c r="D348">
        <v>284180983285</v>
      </c>
      <c r="E348" t="s">
        <v>28</v>
      </c>
      <c r="F348" t="s">
        <v>29</v>
      </c>
      <c r="G348" t="s">
        <v>30</v>
      </c>
      <c r="H348" t="s">
        <v>67</v>
      </c>
      <c r="I348" t="s">
        <v>38</v>
      </c>
      <c r="J348">
        <v>4390.57</v>
      </c>
      <c r="K348" t="s">
        <v>39</v>
      </c>
      <c r="L348" s="2">
        <v>45364</v>
      </c>
      <c r="M348" t="s">
        <v>24</v>
      </c>
      <c r="N348">
        <v>404938.51</v>
      </c>
      <c r="O348" t="s">
        <v>25</v>
      </c>
      <c r="P348">
        <f>YEAR('Main DataSet'!$L348)</f>
        <v>2024</v>
      </c>
      <c r="Q348">
        <f>MONTH('Main DataSet'!$L348)</f>
        <v>3</v>
      </c>
      <c r="R348" t="str">
        <f>TEXT('Main DataSet'!$L348,"MM-YYYY")</f>
        <v>03-2024</v>
      </c>
    </row>
    <row r="349" spans="1:18" ht="15.75" customHeight="1" x14ac:dyDescent="0.2">
      <c r="A349" t="s">
        <v>784</v>
      </c>
      <c r="B349">
        <v>740305</v>
      </c>
      <c r="C349" t="s">
        <v>785</v>
      </c>
      <c r="D349">
        <v>242642960021</v>
      </c>
      <c r="E349" t="s">
        <v>28</v>
      </c>
      <c r="F349" t="s">
        <v>216</v>
      </c>
      <c r="G349" t="s">
        <v>217</v>
      </c>
      <c r="H349" t="s">
        <v>70</v>
      </c>
      <c r="I349" t="s">
        <v>53</v>
      </c>
      <c r="J349">
        <v>256573.7</v>
      </c>
      <c r="K349" t="s">
        <v>32</v>
      </c>
      <c r="L349" s="2">
        <v>45149</v>
      </c>
      <c r="M349" t="s">
        <v>113</v>
      </c>
      <c r="N349">
        <v>1215289.54</v>
      </c>
      <c r="O349" t="s">
        <v>25</v>
      </c>
      <c r="P349">
        <f>YEAR('Main DataSet'!$L349)</f>
        <v>2023</v>
      </c>
      <c r="Q349">
        <f>MONTH('Main DataSet'!$L349)</f>
        <v>8</v>
      </c>
      <c r="R349" t="str">
        <f>TEXT('Main DataSet'!$L349,"MM-YYYY")</f>
        <v>08-2023</v>
      </c>
    </row>
    <row r="350" spans="1:18" ht="15.75" customHeight="1" x14ac:dyDescent="0.2">
      <c r="A350" t="s">
        <v>786</v>
      </c>
      <c r="B350">
        <v>427894</v>
      </c>
      <c r="C350" t="s">
        <v>787</v>
      </c>
      <c r="D350">
        <v>870186363718</v>
      </c>
      <c r="E350" t="s">
        <v>91</v>
      </c>
      <c r="F350" t="s">
        <v>109</v>
      </c>
      <c r="G350" t="s">
        <v>110</v>
      </c>
      <c r="H350" t="s">
        <v>67</v>
      </c>
      <c r="I350" t="s">
        <v>48</v>
      </c>
      <c r="J350">
        <v>192646.23</v>
      </c>
      <c r="K350" t="s">
        <v>98</v>
      </c>
      <c r="L350" s="2">
        <v>45703</v>
      </c>
      <c r="M350" t="s">
        <v>24</v>
      </c>
      <c r="N350">
        <v>1958117.95</v>
      </c>
      <c r="O350" t="s">
        <v>25</v>
      </c>
      <c r="P350">
        <f>YEAR('Main DataSet'!$L350)</f>
        <v>2025</v>
      </c>
      <c r="Q350">
        <f>MONTH('Main DataSet'!$L350)</f>
        <v>2</v>
      </c>
      <c r="R350" t="str">
        <f>TEXT('Main DataSet'!$L350,"MM-YYYY")</f>
        <v>02-2025</v>
      </c>
    </row>
    <row r="351" spans="1:18" ht="15.75" customHeight="1" x14ac:dyDescent="0.2">
      <c r="A351" t="s">
        <v>788</v>
      </c>
      <c r="B351">
        <v>586706</v>
      </c>
      <c r="C351" t="s">
        <v>789</v>
      </c>
      <c r="D351">
        <v>386125421772</v>
      </c>
      <c r="E351" t="s">
        <v>64</v>
      </c>
      <c r="F351" t="s">
        <v>166</v>
      </c>
      <c r="G351" t="s">
        <v>167</v>
      </c>
      <c r="H351" t="s">
        <v>31</v>
      </c>
      <c r="I351" t="s">
        <v>48</v>
      </c>
      <c r="J351">
        <v>245014.75</v>
      </c>
      <c r="K351" t="s">
        <v>49</v>
      </c>
      <c r="L351" s="2">
        <v>45321</v>
      </c>
      <c r="M351" t="s">
        <v>24</v>
      </c>
      <c r="N351">
        <v>1896528.53</v>
      </c>
      <c r="O351" t="s">
        <v>25</v>
      </c>
      <c r="P351">
        <f>YEAR('Main DataSet'!$L351)</f>
        <v>2024</v>
      </c>
      <c r="Q351">
        <f>MONTH('Main DataSet'!$L351)</f>
        <v>1</v>
      </c>
      <c r="R351" t="str">
        <f>TEXT('Main DataSet'!$L351,"MM-YYYY")</f>
        <v>01-2024</v>
      </c>
    </row>
    <row r="352" spans="1:18" ht="15.75" customHeight="1" x14ac:dyDescent="0.2">
      <c r="A352" t="s">
        <v>790</v>
      </c>
      <c r="B352">
        <v>684987</v>
      </c>
      <c r="C352" t="s">
        <v>791</v>
      </c>
      <c r="D352">
        <v>462363293377</v>
      </c>
      <c r="E352" t="s">
        <v>64</v>
      </c>
      <c r="F352" t="s">
        <v>83</v>
      </c>
      <c r="G352" t="s">
        <v>84</v>
      </c>
      <c r="H352" t="s">
        <v>31</v>
      </c>
      <c r="I352" t="s">
        <v>53</v>
      </c>
      <c r="J352">
        <v>498754.84</v>
      </c>
      <c r="K352" t="s">
        <v>23</v>
      </c>
      <c r="L352" s="2">
        <v>45265</v>
      </c>
      <c r="M352" t="s">
        <v>24</v>
      </c>
      <c r="N352">
        <v>1284513.78</v>
      </c>
      <c r="O352" t="s">
        <v>25</v>
      </c>
      <c r="P352">
        <f>YEAR('Main DataSet'!$L352)</f>
        <v>2023</v>
      </c>
      <c r="Q352">
        <f>MONTH('Main DataSet'!$L352)</f>
        <v>12</v>
      </c>
      <c r="R352" t="str">
        <f>TEXT('Main DataSet'!$L352,"MM-YYYY")</f>
        <v>12-2023</v>
      </c>
    </row>
    <row r="353" spans="1:18" ht="15.75" customHeight="1" x14ac:dyDescent="0.2">
      <c r="A353" t="s">
        <v>792</v>
      </c>
      <c r="B353">
        <v>718664</v>
      </c>
      <c r="C353" t="s">
        <v>793</v>
      </c>
      <c r="D353">
        <v>283341172763</v>
      </c>
      <c r="E353" t="s">
        <v>35</v>
      </c>
      <c r="F353" t="s">
        <v>42</v>
      </c>
      <c r="G353" t="s">
        <v>43</v>
      </c>
      <c r="H353" t="s">
        <v>31</v>
      </c>
      <c r="I353" t="s">
        <v>48</v>
      </c>
      <c r="J353">
        <v>223897.88</v>
      </c>
      <c r="K353" t="s">
        <v>23</v>
      </c>
      <c r="L353" s="2">
        <v>45418</v>
      </c>
      <c r="M353" t="s">
        <v>24</v>
      </c>
      <c r="N353">
        <v>1081271.3899999999</v>
      </c>
      <c r="O353" t="s">
        <v>25</v>
      </c>
      <c r="P353">
        <f>YEAR('Main DataSet'!$L353)</f>
        <v>2024</v>
      </c>
      <c r="Q353">
        <f>MONTH('Main DataSet'!$L353)</f>
        <v>5</v>
      </c>
      <c r="R353" t="str">
        <f>TEXT('Main DataSet'!$L353,"MM-YYYY")</f>
        <v>05-2024</v>
      </c>
    </row>
    <row r="354" spans="1:18" ht="15.75" customHeight="1" x14ac:dyDescent="0.2">
      <c r="A354" t="s">
        <v>794</v>
      </c>
      <c r="B354">
        <v>361462</v>
      </c>
      <c r="C354" t="s">
        <v>795</v>
      </c>
      <c r="D354">
        <v>605459164624</v>
      </c>
      <c r="E354" t="s">
        <v>64</v>
      </c>
      <c r="F354" t="s">
        <v>166</v>
      </c>
      <c r="G354" t="s">
        <v>167</v>
      </c>
      <c r="H354" t="s">
        <v>21</v>
      </c>
      <c r="I354" t="s">
        <v>38</v>
      </c>
      <c r="J354">
        <v>133808.04</v>
      </c>
      <c r="K354" t="s">
        <v>32</v>
      </c>
      <c r="L354" s="2">
        <v>45618</v>
      </c>
      <c r="M354" t="s">
        <v>24</v>
      </c>
      <c r="N354">
        <v>1345738.11</v>
      </c>
      <c r="O354" t="s">
        <v>25</v>
      </c>
      <c r="P354">
        <f>YEAR('Main DataSet'!$L354)</f>
        <v>2024</v>
      </c>
      <c r="Q354">
        <f>MONTH('Main DataSet'!$L354)</f>
        <v>11</v>
      </c>
      <c r="R354" t="str">
        <f>TEXT('Main DataSet'!$L354,"MM-YYYY")</f>
        <v>11-2024</v>
      </c>
    </row>
    <row r="355" spans="1:18" ht="15.75" customHeight="1" x14ac:dyDescent="0.2">
      <c r="A355" t="s">
        <v>796</v>
      </c>
      <c r="B355">
        <v>633665</v>
      </c>
      <c r="C355" t="s">
        <v>797</v>
      </c>
      <c r="D355">
        <v>198565706740</v>
      </c>
      <c r="E355" t="s">
        <v>35</v>
      </c>
      <c r="F355" t="s">
        <v>73</v>
      </c>
      <c r="G355" t="s">
        <v>74</v>
      </c>
      <c r="H355" t="s">
        <v>67</v>
      </c>
      <c r="I355" t="s">
        <v>38</v>
      </c>
      <c r="J355">
        <v>45421.34</v>
      </c>
      <c r="K355" t="s">
        <v>49</v>
      </c>
      <c r="L355" s="2">
        <v>45443</v>
      </c>
      <c r="M355" t="s">
        <v>24</v>
      </c>
      <c r="N355">
        <v>821237.76000000001</v>
      </c>
      <c r="O355" t="s">
        <v>25</v>
      </c>
      <c r="P355">
        <f>YEAR('Main DataSet'!$L355)</f>
        <v>2024</v>
      </c>
      <c r="Q355">
        <f>MONTH('Main DataSet'!$L355)</f>
        <v>5</v>
      </c>
      <c r="R355" t="str">
        <f>TEXT('Main DataSet'!$L355,"MM-YYYY")</f>
        <v>05-2024</v>
      </c>
    </row>
    <row r="356" spans="1:18" ht="15.75" customHeight="1" x14ac:dyDescent="0.2">
      <c r="A356" t="s">
        <v>798</v>
      </c>
      <c r="B356">
        <v>894189</v>
      </c>
      <c r="C356" t="s">
        <v>799</v>
      </c>
      <c r="D356">
        <v>261191347516</v>
      </c>
      <c r="E356" t="s">
        <v>91</v>
      </c>
      <c r="F356" t="s">
        <v>109</v>
      </c>
      <c r="G356" t="s">
        <v>110</v>
      </c>
      <c r="H356" t="s">
        <v>21</v>
      </c>
      <c r="I356" t="s">
        <v>22</v>
      </c>
      <c r="J356">
        <v>172113.86</v>
      </c>
      <c r="K356" t="s">
        <v>49</v>
      </c>
      <c r="L356" s="2">
        <v>45129</v>
      </c>
      <c r="M356" t="s">
        <v>24</v>
      </c>
      <c r="N356">
        <v>896946.19</v>
      </c>
      <c r="O356" t="s">
        <v>25</v>
      </c>
      <c r="P356">
        <f>YEAR('Main DataSet'!$L356)</f>
        <v>2023</v>
      </c>
      <c r="Q356">
        <f>MONTH('Main DataSet'!$L356)</f>
        <v>7</v>
      </c>
      <c r="R356" t="str">
        <f>TEXT('Main DataSet'!$L356,"MM-YYYY")</f>
        <v>07-2023</v>
      </c>
    </row>
    <row r="357" spans="1:18" ht="15.75" customHeight="1" x14ac:dyDescent="0.2">
      <c r="A357" t="s">
        <v>800</v>
      </c>
      <c r="B357">
        <v>475202</v>
      </c>
      <c r="C357" t="s">
        <v>801</v>
      </c>
      <c r="D357">
        <v>263661783529</v>
      </c>
      <c r="E357" t="s">
        <v>91</v>
      </c>
      <c r="F357" t="s">
        <v>162</v>
      </c>
      <c r="G357" t="s">
        <v>163</v>
      </c>
      <c r="H357" t="s">
        <v>21</v>
      </c>
      <c r="I357" t="s">
        <v>38</v>
      </c>
      <c r="J357">
        <v>78597.94</v>
      </c>
      <c r="K357" t="s">
        <v>23</v>
      </c>
      <c r="L357" s="2">
        <v>45714</v>
      </c>
      <c r="M357" t="s">
        <v>24</v>
      </c>
      <c r="N357">
        <v>1132144.31</v>
      </c>
      <c r="O357" t="s">
        <v>25</v>
      </c>
      <c r="P357">
        <f>YEAR('Main DataSet'!$L357)</f>
        <v>2025</v>
      </c>
      <c r="Q357">
        <f>MONTH('Main DataSet'!$L357)</f>
        <v>2</v>
      </c>
      <c r="R357" t="str">
        <f>TEXT('Main DataSet'!$L357,"MM-YYYY")</f>
        <v>02-2025</v>
      </c>
    </row>
    <row r="358" spans="1:18" ht="15.75" customHeight="1" x14ac:dyDescent="0.2">
      <c r="A358" t="s">
        <v>802</v>
      </c>
      <c r="B358">
        <v>853516</v>
      </c>
      <c r="C358" t="s">
        <v>803</v>
      </c>
      <c r="D358">
        <v>909642409332</v>
      </c>
      <c r="E358" t="s">
        <v>35</v>
      </c>
      <c r="F358" t="s">
        <v>42</v>
      </c>
      <c r="G358" t="s">
        <v>43</v>
      </c>
      <c r="H358" t="s">
        <v>31</v>
      </c>
      <c r="I358" t="s">
        <v>48</v>
      </c>
      <c r="J358">
        <v>2034.23</v>
      </c>
      <c r="K358" t="s">
        <v>39</v>
      </c>
      <c r="L358" s="2">
        <v>45641</v>
      </c>
      <c r="M358" t="s">
        <v>50</v>
      </c>
      <c r="N358">
        <v>1179384.8799999999</v>
      </c>
      <c r="O358" t="s">
        <v>25</v>
      </c>
      <c r="P358">
        <f>YEAR('Main DataSet'!$L358)</f>
        <v>2024</v>
      </c>
      <c r="Q358">
        <f>MONTH('Main DataSet'!$L358)</f>
        <v>12</v>
      </c>
      <c r="R358" t="str">
        <f>TEXT('Main DataSet'!$L358,"MM-YYYY")</f>
        <v>12-2024</v>
      </c>
    </row>
    <row r="359" spans="1:18" ht="15.75" customHeight="1" x14ac:dyDescent="0.2">
      <c r="A359" t="s">
        <v>804</v>
      </c>
      <c r="B359">
        <v>150512</v>
      </c>
      <c r="C359" t="s">
        <v>805</v>
      </c>
      <c r="D359">
        <v>947252500435</v>
      </c>
      <c r="E359" t="s">
        <v>64</v>
      </c>
      <c r="F359" t="s">
        <v>146</v>
      </c>
      <c r="G359" t="s">
        <v>147</v>
      </c>
      <c r="H359" t="s">
        <v>67</v>
      </c>
      <c r="I359" t="s">
        <v>38</v>
      </c>
      <c r="J359">
        <v>145852.56</v>
      </c>
      <c r="K359" t="s">
        <v>23</v>
      </c>
      <c r="L359" s="2">
        <v>45649</v>
      </c>
      <c r="M359" t="s">
        <v>24</v>
      </c>
      <c r="N359">
        <v>1802050.86</v>
      </c>
      <c r="O359" t="s">
        <v>25</v>
      </c>
      <c r="P359">
        <f>YEAR('Main DataSet'!$L359)</f>
        <v>2024</v>
      </c>
      <c r="Q359">
        <f>MONTH('Main DataSet'!$L359)</f>
        <v>12</v>
      </c>
      <c r="R359" t="str">
        <f>TEXT('Main DataSet'!$L359,"MM-YYYY")</f>
        <v>12-2024</v>
      </c>
    </row>
    <row r="360" spans="1:18" ht="15.75" customHeight="1" x14ac:dyDescent="0.2">
      <c r="A360" t="s">
        <v>806</v>
      </c>
      <c r="B360">
        <v>114174</v>
      </c>
      <c r="C360" t="s">
        <v>807</v>
      </c>
      <c r="D360">
        <v>503389519825</v>
      </c>
      <c r="E360" t="s">
        <v>64</v>
      </c>
      <c r="F360" t="s">
        <v>146</v>
      </c>
      <c r="G360" t="s">
        <v>147</v>
      </c>
      <c r="H360" t="s">
        <v>31</v>
      </c>
      <c r="I360" t="s">
        <v>22</v>
      </c>
      <c r="J360">
        <v>505150.86</v>
      </c>
      <c r="K360" t="s">
        <v>49</v>
      </c>
      <c r="L360" s="2">
        <v>45124</v>
      </c>
      <c r="M360" t="s">
        <v>24</v>
      </c>
      <c r="N360">
        <v>1521144.43</v>
      </c>
      <c r="O360" t="s">
        <v>25</v>
      </c>
      <c r="P360">
        <f>YEAR('Main DataSet'!$L360)</f>
        <v>2023</v>
      </c>
      <c r="Q360">
        <f>MONTH('Main DataSet'!$L360)</f>
        <v>7</v>
      </c>
      <c r="R360" t="str">
        <f>TEXT('Main DataSet'!$L360,"MM-YYYY")</f>
        <v>07-2023</v>
      </c>
    </row>
    <row r="361" spans="1:18" ht="15.75" customHeight="1" x14ac:dyDescent="0.2">
      <c r="A361" t="s">
        <v>808</v>
      </c>
      <c r="B361">
        <v>815415</v>
      </c>
      <c r="C361" t="s">
        <v>809</v>
      </c>
      <c r="D361">
        <v>707425693401</v>
      </c>
      <c r="E361" t="s">
        <v>28</v>
      </c>
      <c r="F361" t="s">
        <v>150</v>
      </c>
      <c r="G361" t="s">
        <v>151</v>
      </c>
      <c r="H361" t="s">
        <v>21</v>
      </c>
      <c r="I361" t="s">
        <v>48</v>
      </c>
      <c r="J361">
        <v>263485.11</v>
      </c>
      <c r="K361" t="s">
        <v>49</v>
      </c>
      <c r="L361" s="2">
        <v>45805</v>
      </c>
      <c r="M361" t="s">
        <v>24</v>
      </c>
      <c r="N361">
        <v>772198.29</v>
      </c>
      <c r="O361" t="s">
        <v>25</v>
      </c>
      <c r="P361">
        <f>YEAR('Main DataSet'!$L361)</f>
        <v>2025</v>
      </c>
      <c r="Q361">
        <f>MONTH('Main DataSet'!$L361)</f>
        <v>5</v>
      </c>
      <c r="R361" t="str">
        <f>TEXT('Main DataSet'!$L361,"MM-YYYY")</f>
        <v>05-2025</v>
      </c>
    </row>
    <row r="362" spans="1:18" ht="15.75" customHeight="1" x14ac:dyDescent="0.2">
      <c r="A362" t="s">
        <v>810</v>
      </c>
      <c r="B362">
        <v>332907</v>
      </c>
      <c r="C362" t="s">
        <v>811</v>
      </c>
      <c r="D362">
        <v>775725282488</v>
      </c>
      <c r="E362" t="s">
        <v>18</v>
      </c>
      <c r="F362" t="s">
        <v>46</v>
      </c>
      <c r="G362" t="s">
        <v>47</v>
      </c>
      <c r="H362" t="s">
        <v>70</v>
      </c>
      <c r="I362" t="s">
        <v>53</v>
      </c>
      <c r="J362">
        <v>477061.46</v>
      </c>
      <c r="K362" t="s">
        <v>32</v>
      </c>
      <c r="L362" s="2">
        <v>45450</v>
      </c>
      <c r="M362" t="s">
        <v>24</v>
      </c>
      <c r="N362">
        <v>943250.81</v>
      </c>
      <c r="O362" t="s">
        <v>179</v>
      </c>
      <c r="P362">
        <f>YEAR('Main DataSet'!$L362)</f>
        <v>2024</v>
      </c>
      <c r="Q362">
        <f>MONTH('Main DataSet'!$L362)</f>
        <v>6</v>
      </c>
      <c r="R362" t="str">
        <f>TEXT('Main DataSet'!$L362,"MM-YYYY")</f>
        <v>06-2024</v>
      </c>
    </row>
    <row r="363" spans="1:18" ht="15.75" customHeight="1" x14ac:dyDescent="0.2">
      <c r="A363" t="s">
        <v>812</v>
      </c>
      <c r="B363">
        <v>888086</v>
      </c>
      <c r="C363" t="s">
        <v>813</v>
      </c>
      <c r="D363">
        <v>396619643095</v>
      </c>
      <c r="E363" t="s">
        <v>18</v>
      </c>
      <c r="F363" t="s">
        <v>19</v>
      </c>
      <c r="G363" t="s">
        <v>20</v>
      </c>
      <c r="H363" t="s">
        <v>21</v>
      </c>
      <c r="I363" t="s">
        <v>38</v>
      </c>
      <c r="J363">
        <v>89540.74</v>
      </c>
      <c r="K363" t="s">
        <v>23</v>
      </c>
      <c r="L363" s="2">
        <v>45727</v>
      </c>
      <c r="M363" t="s">
        <v>24</v>
      </c>
      <c r="N363">
        <v>1430531.1</v>
      </c>
      <c r="O363" t="s">
        <v>25</v>
      </c>
      <c r="P363">
        <f>YEAR('Main DataSet'!$L363)</f>
        <v>2025</v>
      </c>
      <c r="Q363">
        <f>MONTH('Main DataSet'!$L363)</f>
        <v>3</v>
      </c>
      <c r="R363" t="str">
        <f>TEXT('Main DataSet'!$L363,"MM-YYYY")</f>
        <v>03-2025</v>
      </c>
    </row>
    <row r="364" spans="1:18" ht="15.75" customHeight="1" x14ac:dyDescent="0.2">
      <c r="A364" t="s">
        <v>814</v>
      </c>
      <c r="B364">
        <v>344715</v>
      </c>
      <c r="C364" t="s">
        <v>815</v>
      </c>
      <c r="D364">
        <v>662042689096</v>
      </c>
      <c r="E364" t="s">
        <v>91</v>
      </c>
      <c r="F364" t="s">
        <v>162</v>
      </c>
      <c r="G364" t="s">
        <v>163</v>
      </c>
      <c r="H364" t="s">
        <v>70</v>
      </c>
      <c r="I364" t="s">
        <v>22</v>
      </c>
      <c r="J364">
        <v>377204.37</v>
      </c>
      <c r="K364" t="s">
        <v>39</v>
      </c>
      <c r="L364" s="2">
        <v>45524</v>
      </c>
      <c r="M364" t="s">
        <v>24</v>
      </c>
      <c r="N364">
        <v>1214932.99</v>
      </c>
      <c r="O364" t="s">
        <v>25</v>
      </c>
      <c r="P364">
        <f>YEAR('Main DataSet'!$L364)</f>
        <v>2024</v>
      </c>
      <c r="Q364">
        <f>MONTH('Main DataSet'!$L364)</f>
        <v>8</v>
      </c>
      <c r="R364" t="str">
        <f>TEXT('Main DataSet'!$L364,"MM-YYYY")</f>
        <v>08-2024</v>
      </c>
    </row>
    <row r="365" spans="1:18" ht="15.75" customHeight="1" x14ac:dyDescent="0.2">
      <c r="A365" t="s">
        <v>816</v>
      </c>
      <c r="B365">
        <v>475616</v>
      </c>
      <c r="C365" t="s">
        <v>817</v>
      </c>
      <c r="D365">
        <v>174971552064</v>
      </c>
      <c r="E365" t="s">
        <v>64</v>
      </c>
      <c r="F365" t="s">
        <v>177</v>
      </c>
      <c r="G365" t="s">
        <v>178</v>
      </c>
      <c r="H365" t="s">
        <v>21</v>
      </c>
      <c r="I365" t="s">
        <v>48</v>
      </c>
      <c r="J365">
        <v>5600</v>
      </c>
      <c r="K365" t="s">
        <v>49</v>
      </c>
      <c r="L365" s="2">
        <v>45804</v>
      </c>
      <c r="M365" t="s">
        <v>24</v>
      </c>
      <c r="N365">
        <v>341311.75</v>
      </c>
      <c r="O365" t="s">
        <v>25</v>
      </c>
      <c r="P365">
        <f>YEAR('Main DataSet'!$L365)</f>
        <v>2025</v>
      </c>
      <c r="Q365">
        <f>MONTH('Main DataSet'!$L365)</f>
        <v>5</v>
      </c>
      <c r="R365" t="str">
        <f>TEXT('Main DataSet'!$L365,"MM-YYYY")</f>
        <v>05-2025</v>
      </c>
    </row>
    <row r="366" spans="1:18" ht="15.75" customHeight="1" x14ac:dyDescent="0.2">
      <c r="A366" t="s">
        <v>818</v>
      </c>
      <c r="B366">
        <v>219887</v>
      </c>
      <c r="C366" t="s">
        <v>819</v>
      </c>
      <c r="D366">
        <v>718917028742</v>
      </c>
      <c r="E366" t="s">
        <v>91</v>
      </c>
      <c r="F366" t="s">
        <v>105</v>
      </c>
      <c r="G366" t="s">
        <v>106</v>
      </c>
      <c r="H366" t="s">
        <v>31</v>
      </c>
      <c r="I366" t="s">
        <v>48</v>
      </c>
      <c r="J366">
        <v>218817.69</v>
      </c>
      <c r="K366" t="s">
        <v>49</v>
      </c>
      <c r="L366" s="2">
        <v>45835</v>
      </c>
      <c r="M366" t="s">
        <v>50</v>
      </c>
      <c r="N366">
        <v>343750.94</v>
      </c>
      <c r="O366" t="s">
        <v>25</v>
      </c>
      <c r="P366">
        <f>YEAR('Main DataSet'!$L366)</f>
        <v>2025</v>
      </c>
      <c r="Q366">
        <f>MONTH('Main DataSet'!$L366)</f>
        <v>6</v>
      </c>
      <c r="R366" t="str">
        <f>TEXT('Main DataSet'!$L366,"MM-YYYY")</f>
        <v>06-2025</v>
      </c>
    </row>
    <row r="367" spans="1:18" ht="15.75" customHeight="1" x14ac:dyDescent="0.2">
      <c r="A367" t="s">
        <v>820</v>
      </c>
      <c r="B367">
        <v>374263</v>
      </c>
      <c r="C367" t="s">
        <v>821</v>
      </c>
      <c r="D367">
        <v>676729996656</v>
      </c>
      <c r="E367" t="s">
        <v>91</v>
      </c>
      <c r="F367" t="s">
        <v>92</v>
      </c>
      <c r="G367" t="s">
        <v>93</v>
      </c>
      <c r="H367" t="s">
        <v>31</v>
      </c>
      <c r="I367" t="s">
        <v>53</v>
      </c>
      <c r="J367">
        <v>332941.88</v>
      </c>
      <c r="K367" t="s">
        <v>23</v>
      </c>
      <c r="L367" s="2">
        <v>45342</v>
      </c>
      <c r="M367" t="s">
        <v>24</v>
      </c>
      <c r="N367">
        <v>1594009.73</v>
      </c>
      <c r="O367" t="s">
        <v>25</v>
      </c>
      <c r="P367">
        <f>YEAR('Main DataSet'!$L367)</f>
        <v>2024</v>
      </c>
      <c r="Q367">
        <f>MONTH('Main DataSet'!$L367)</f>
        <v>2</v>
      </c>
      <c r="R367" t="str">
        <f>TEXT('Main DataSet'!$L367,"MM-YYYY")</f>
        <v>02-2024</v>
      </c>
    </row>
    <row r="368" spans="1:18" ht="15.75" customHeight="1" x14ac:dyDescent="0.2">
      <c r="A368" t="s">
        <v>822</v>
      </c>
      <c r="B368">
        <v>223924</v>
      </c>
      <c r="C368" t="s">
        <v>823</v>
      </c>
      <c r="D368">
        <v>667714778462</v>
      </c>
      <c r="E368" t="s">
        <v>35</v>
      </c>
      <c r="F368" t="s">
        <v>36</v>
      </c>
      <c r="G368" t="s">
        <v>37</v>
      </c>
      <c r="H368" t="s">
        <v>67</v>
      </c>
      <c r="I368" t="s">
        <v>53</v>
      </c>
      <c r="J368">
        <v>103224.63</v>
      </c>
      <c r="K368" t="s">
        <v>23</v>
      </c>
      <c r="L368" s="2">
        <v>45119</v>
      </c>
      <c r="M368" t="s">
        <v>24</v>
      </c>
      <c r="N368">
        <v>770321.19000000006</v>
      </c>
      <c r="O368" t="s">
        <v>25</v>
      </c>
      <c r="P368">
        <f>YEAR('Main DataSet'!$L368)</f>
        <v>2023</v>
      </c>
      <c r="Q368">
        <f>MONTH('Main DataSet'!$L368)</f>
        <v>7</v>
      </c>
      <c r="R368" t="str">
        <f>TEXT('Main DataSet'!$L368,"MM-YYYY")</f>
        <v>07-2023</v>
      </c>
    </row>
    <row r="369" spans="1:18" ht="15.75" customHeight="1" x14ac:dyDescent="0.2">
      <c r="A369" t="s">
        <v>824</v>
      </c>
      <c r="B369">
        <v>539350</v>
      </c>
      <c r="C369" t="s">
        <v>825</v>
      </c>
      <c r="D369">
        <v>733606955563</v>
      </c>
      <c r="E369" t="s">
        <v>28</v>
      </c>
      <c r="F369" t="s">
        <v>192</v>
      </c>
      <c r="G369" t="s">
        <v>193</v>
      </c>
      <c r="H369" t="s">
        <v>31</v>
      </c>
      <c r="I369" t="s">
        <v>53</v>
      </c>
      <c r="J369">
        <v>82653.77</v>
      </c>
      <c r="K369" t="s">
        <v>49</v>
      </c>
      <c r="L369" s="2">
        <v>45819</v>
      </c>
      <c r="M369" t="s">
        <v>24</v>
      </c>
      <c r="N369">
        <v>1028818.01</v>
      </c>
      <c r="O369" t="s">
        <v>25</v>
      </c>
      <c r="P369">
        <f>YEAR('Main DataSet'!$L369)</f>
        <v>2025</v>
      </c>
      <c r="Q369">
        <f>MONTH('Main DataSet'!$L369)</f>
        <v>6</v>
      </c>
      <c r="R369" t="str">
        <f>TEXT('Main DataSet'!$L369,"MM-YYYY")</f>
        <v>06-2025</v>
      </c>
    </row>
    <row r="370" spans="1:18" ht="15.75" customHeight="1" x14ac:dyDescent="0.2">
      <c r="A370" t="s">
        <v>826</v>
      </c>
      <c r="B370">
        <v>405648</v>
      </c>
      <c r="C370" t="s">
        <v>827</v>
      </c>
      <c r="D370">
        <v>360522614619</v>
      </c>
      <c r="E370" t="s">
        <v>18</v>
      </c>
      <c r="F370" t="s">
        <v>87</v>
      </c>
      <c r="G370" t="s">
        <v>88</v>
      </c>
      <c r="H370" t="s">
        <v>31</v>
      </c>
      <c r="I370" t="s">
        <v>38</v>
      </c>
      <c r="J370">
        <v>78021.990000000005</v>
      </c>
      <c r="K370" t="s">
        <v>39</v>
      </c>
      <c r="L370" s="2">
        <v>45312</v>
      </c>
      <c r="M370" t="s">
        <v>24</v>
      </c>
      <c r="N370">
        <v>370202.29</v>
      </c>
      <c r="O370" t="s">
        <v>25</v>
      </c>
      <c r="P370">
        <f>YEAR('Main DataSet'!$L370)</f>
        <v>2024</v>
      </c>
      <c r="Q370">
        <f>MONTH('Main DataSet'!$L370)</f>
        <v>1</v>
      </c>
      <c r="R370" t="str">
        <f>TEXT('Main DataSet'!$L370,"MM-YYYY")</f>
        <v>01-2024</v>
      </c>
    </row>
    <row r="371" spans="1:18" ht="15.75" customHeight="1" x14ac:dyDescent="0.2">
      <c r="A371" t="s">
        <v>828</v>
      </c>
      <c r="B371">
        <v>479949</v>
      </c>
      <c r="C371" t="s">
        <v>829</v>
      </c>
      <c r="D371">
        <v>175860036084</v>
      </c>
      <c r="E371" t="s">
        <v>28</v>
      </c>
      <c r="F371" t="s">
        <v>192</v>
      </c>
      <c r="G371" t="s">
        <v>193</v>
      </c>
      <c r="H371" t="s">
        <v>67</v>
      </c>
      <c r="I371" t="s">
        <v>38</v>
      </c>
      <c r="J371">
        <v>27892.53</v>
      </c>
      <c r="K371" t="s">
        <v>32</v>
      </c>
      <c r="L371" s="2">
        <v>45519</v>
      </c>
      <c r="M371" t="s">
        <v>24</v>
      </c>
      <c r="N371">
        <v>1226681.8400000001</v>
      </c>
      <c r="O371" t="s">
        <v>25</v>
      </c>
      <c r="P371">
        <f>YEAR('Main DataSet'!$L371)</f>
        <v>2024</v>
      </c>
      <c r="Q371">
        <f>MONTH('Main DataSet'!$L371)</f>
        <v>8</v>
      </c>
      <c r="R371" t="str">
        <f>TEXT('Main DataSet'!$L371,"MM-YYYY")</f>
        <v>08-2024</v>
      </c>
    </row>
    <row r="372" spans="1:18" ht="15.75" customHeight="1" x14ac:dyDescent="0.2">
      <c r="A372" t="s">
        <v>830</v>
      </c>
      <c r="B372">
        <v>387939</v>
      </c>
      <c r="C372" t="s">
        <v>831</v>
      </c>
      <c r="D372">
        <v>260103738581</v>
      </c>
      <c r="E372" t="s">
        <v>28</v>
      </c>
      <c r="F372" t="s">
        <v>79</v>
      </c>
      <c r="G372" t="s">
        <v>80</v>
      </c>
      <c r="H372" t="s">
        <v>21</v>
      </c>
      <c r="I372" t="s">
        <v>38</v>
      </c>
      <c r="J372">
        <v>19862</v>
      </c>
      <c r="K372" t="s">
        <v>98</v>
      </c>
      <c r="L372" s="2">
        <v>45804</v>
      </c>
      <c r="M372" t="s">
        <v>168</v>
      </c>
      <c r="N372">
        <v>932608.28</v>
      </c>
      <c r="O372" t="s">
        <v>25</v>
      </c>
      <c r="P372">
        <f>YEAR('Main DataSet'!$L372)</f>
        <v>2025</v>
      </c>
      <c r="Q372">
        <f>MONTH('Main DataSet'!$L372)</f>
        <v>5</v>
      </c>
      <c r="R372" t="str">
        <f>TEXT('Main DataSet'!$L372,"MM-YYYY")</f>
        <v>05-2025</v>
      </c>
    </row>
    <row r="373" spans="1:18" ht="15.75" customHeight="1" x14ac:dyDescent="0.2">
      <c r="A373" t="s">
        <v>832</v>
      </c>
      <c r="B373">
        <v>529371</v>
      </c>
      <c r="C373" t="s">
        <v>833</v>
      </c>
      <c r="D373">
        <v>696398414197</v>
      </c>
      <c r="E373" t="s">
        <v>35</v>
      </c>
      <c r="F373" t="s">
        <v>36</v>
      </c>
      <c r="G373" t="s">
        <v>37</v>
      </c>
      <c r="H373" t="s">
        <v>21</v>
      </c>
      <c r="I373" t="s">
        <v>38</v>
      </c>
      <c r="J373">
        <v>78464.289999999994</v>
      </c>
      <c r="K373" t="s">
        <v>39</v>
      </c>
      <c r="L373" s="2">
        <v>45176</v>
      </c>
      <c r="M373" t="s">
        <v>24</v>
      </c>
      <c r="N373">
        <v>1563610.66</v>
      </c>
      <c r="O373" t="s">
        <v>25</v>
      </c>
      <c r="P373">
        <f>YEAR('Main DataSet'!$L373)</f>
        <v>2023</v>
      </c>
      <c r="Q373">
        <f>MONTH('Main DataSet'!$L373)</f>
        <v>9</v>
      </c>
      <c r="R373" t="str">
        <f>TEXT('Main DataSet'!$L373,"MM-YYYY")</f>
        <v>09-2023</v>
      </c>
    </row>
    <row r="374" spans="1:18" ht="15.75" customHeight="1" x14ac:dyDescent="0.2">
      <c r="A374" t="s">
        <v>834</v>
      </c>
      <c r="B374">
        <v>990194</v>
      </c>
      <c r="C374" t="s">
        <v>835</v>
      </c>
      <c r="D374">
        <v>493757512103</v>
      </c>
      <c r="E374" t="s">
        <v>35</v>
      </c>
      <c r="F374" t="s">
        <v>60</v>
      </c>
      <c r="G374" t="s">
        <v>61</v>
      </c>
      <c r="H374" t="s">
        <v>70</v>
      </c>
      <c r="I374" t="s">
        <v>38</v>
      </c>
      <c r="J374">
        <v>142933.76999999999</v>
      </c>
      <c r="K374" t="s">
        <v>23</v>
      </c>
      <c r="L374" s="2">
        <v>45181</v>
      </c>
      <c r="M374" t="s">
        <v>24</v>
      </c>
      <c r="N374">
        <v>1697109.27</v>
      </c>
      <c r="O374" t="s">
        <v>25</v>
      </c>
      <c r="P374">
        <f>YEAR('Main DataSet'!$L374)</f>
        <v>2023</v>
      </c>
      <c r="Q374">
        <f>MONTH('Main DataSet'!$L374)</f>
        <v>9</v>
      </c>
      <c r="R374" t="str">
        <f>TEXT('Main DataSet'!$L374,"MM-YYYY")</f>
        <v>09-2023</v>
      </c>
    </row>
    <row r="375" spans="1:18" ht="15.75" customHeight="1" x14ac:dyDescent="0.2">
      <c r="A375" t="s">
        <v>836</v>
      </c>
      <c r="B375">
        <v>970064</v>
      </c>
      <c r="C375" t="s">
        <v>837</v>
      </c>
      <c r="D375">
        <v>653060642611</v>
      </c>
      <c r="E375" t="s">
        <v>35</v>
      </c>
      <c r="F375" t="s">
        <v>36</v>
      </c>
      <c r="G375" t="s">
        <v>37</v>
      </c>
      <c r="H375" t="s">
        <v>70</v>
      </c>
      <c r="I375" t="s">
        <v>53</v>
      </c>
      <c r="J375">
        <v>151050.63</v>
      </c>
      <c r="K375" t="s">
        <v>98</v>
      </c>
      <c r="L375" s="2">
        <v>45380</v>
      </c>
      <c r="M375" t="s">
        <v>113</v>
      </c>
      <c r="N375">
        <v>1211040.1100000001</v>
      </c>
      <c r="O375" t="s">
        <v>179</v>
      </c>
      <c r="P375">
        <f>YEAR('Main DataSet'!$L375)</f>
        <v>2024</v>
      </c>
      <c r="Q375">
        <f>MONTH('Main DataSet'!$L375)</f>
        <v>3</v>
      </c>
      <c r="R375" t="str">
        <f>TEXT('Main DataSet'!$L375,"MM-YYYY")</f>
        <v>03-2024</v>
      </c>
    </row>
    <row r="376" spans="1:18" ht="15.75" customHeight="1" x14ac:dyDescent="0.2">
      <c r="A376" t="s">
        <v>838</v>
      </c>
      <c r="B376">
        <v>466409</v>
      </c>
      <c r="C376" t="s">
        <v>839</v>
      </c>
      <c r="D376">
        <v>881453879458</v>
      </c>
      <c r="E376" t="s">
        <v>91</v>
      </c>
      <c r="F376" t="s">
        <v>92</v>
      </c>
      <c r="G376" t="s">
        <v>93</v>
      </c>
      <c r="H376" t="s">
        <v>70</v>
      </c>
      <c r="I376" t="s">
        <v>22</v>
      </c>
      <c r="J376">
        <v>87369.06</v>
      </c>
      <c r="K376" t="s">
        <v>39</v>
      </c>
      <c r="L376" s="2">
        <v>45726</v>
      </c>
      <c r="M376" t="s">
        <v>24</v>
      </c>
      <c r="N376">
        <v>523219.45</v>
      </c>
      <c r="O376" t="s">
        <v>25</v>
      </c>
      <c r="P376">
        <f>YEAR('Main DataSet'!$L376)</f>
        <v>2025</v>
      </c>
      <c r="Q376">
        <f>MONTH('Main DataSet'!$L376)</f>
        <v>3</v>
      </c>
      <c r="R376" t="str">
        <f>TEXT('Main DataSet'!$L376,"MM-YYYY")</f>
        <v>03-2025</v>
      </c>
    </row>
    <row r="377" spans="1:18" ht="15.75" customHeight="1" x14ac:dyDescent="0.2">
      <c r="A377" t="s">
        <v>840</v>
      </c>
      <c r="B377">
        <v>691233</v>
      </c>
      <c r="C377" t="s">
        <v>841</v>
      </c>
      <c r="D377">
        <v>591674302857</v>
      </c>
      <c r="E377" t="s">
        <v>64</v>
      </c>
      <c r="F377" t="s">
        <v>177</v>
      </c>
      <c r="G377" t="s">
        <v>178</v>
      </c>
      <c r="H377" t="s">
        <v>31</v>
      </c>
      <c r="I377" t="s">
        <v>22</v>
      </c>
      <c r="J377">
        <v>466117.12</v>
      </c>
      <c r="K377" t="s">
        <v>49</v>
      </c>
      <c r="L377" s="2">
        <v>45665</v>
      </c>
      <c r="M377" t="s">
        <v>24</v>
      </c>
      <c r="N377">
        <v>559077.69999999995</v>
      </c>
      <c r="O377" t="s">
        <v>25</v>
      </c>
      <c r="P377">
        <f>YEAR('Main DataSet'!$L377)</f>
        <v>2025</v>
      </c>
      <c r="Q377">
        <f>MONTH('Main DataSet'!$L377)</f>
        <v>1</v>
      </c>
      <c r="R377" t="str">
        <f>TEXT('Main DataSet'!$L377,"MM-YYYY")</f>
        <v>01-2025</v>
      </c>
    </row>
    <row r="378" spans="1:18" ht="15.75" customHeight="1" x14ac:dyDescent="0.2">
      <c r="A378" t="s">
        <v>842</v>
      </c>
      <c r="B378">
        <v>923020</v>
      </c>
      <c r="C378" t="s">
        <v>843</v>
      </c>
      <c r="D378">
        <v>989318539943</v>
      </c>
      <c r="E378" t="s">
        <v>28</v>
      </c>
      <c r="F378" t="s">
        <v>216</v>
      </c>
      <c r="G378" t="s">
        <v>217</v>
      </c>
      <c r="H378" t="s">
        <v>70</v>
      </c>
      <c r="I378" t="s">
        <v>53</v>
      </c>
      <c r="J378">
        <v>352951.84</v>
      </c>
      <c r="K378" t="s">
        <v>23</v>
      </c>
      <c r="L378" s="2">
        <v>45612</v>
      </c>
      <c r="M378" t="s">
        <v>50</v>
      </c>
      <c r="N378">
        <v>1563217.64</v>
      </c>
      <c r="O378" t="s">
        <v>25</v>
      </c>
      <c r="P378">
        <f>YEAR('Main DataSet'!$L378)</f>
        <v>2024</v>
      </c>
      <c r="Q378">
        <f>MONTH('Main DataSet'!$L378)</f>
        <v>11</v>
      </c>
      <c r="R378" t="str">
        <f>TEXT('Main DataSet'!$L378,"MM-YYYY")</f>
        <v>11-2024</v>
      </c>
    </row>
    <row r="379" spans="1:18" ht="15.75" customHeight="1" x14ac:dyDescent="0.2">
      <c r="A379" t="s">
        <v>844</v>
      </c>
      <c r="B379">
        <v>690626</v>
      </c>
      <c r="C379" t="s">
        <v>845</v>
      </c>
      <c r="D379">
        <v>223709347082</v>
      </c>
      <c r="E379" t="s">
        <v>64</v>
      </c>
      <c r="F379" t="s">
        <v>65</v>
      </c>
      <c r="G379" t="s">
        <v>66</v>
      </c>
      <c r="H379" t="s">
        <v>67</v>
      </c>
      <c r="I379" t="s">
        <v>48</v>
      </c>
      <c r="J379">
        <v>119830.79</v>
      </c>
      <c r="K379" t="s">
        <v>49</v>
      </c>
      <c r="L379" s="2">
        <v>45241</v>
      </c>
      <c r="M379" t="s">
        <v>24</v>
      </c>
      <c r="N379">
        <v>1196217.07</v>
      </c>
      <c r="O379" t="s">
        <v>25</v>
      </c>
      <c r="P379">
        <f>YEAR('Main DataSet'!$L379)</f>
        <v>2023</v>
      </c>
      <c r="Q379">
        <f>MONTH('Main DataSet'!$L379)</f>
        <v>11</v>
      </c>
      <c r="R379" t="str">
        <f>TEXT('Main DataSet'!$L379,"MM-YYYY")</f>
        <v>11-2023</v>
      </c>
    </row>
    <row r="380" spans="1:18" ht="15.75" customHeight="1" x14ac:dyDescent="0.2">
      <c r="A380" t="s">
        <v>846</v>
      </c>
      <c r="B380">
        <v>459550</v>
      </c>
      <c r="C380" t="s">
        <v>847</v>
      </c>
      <c r="D380">
        <v>798399336730</v>
      </c>
      <c r="E380" t="s">
        <v>35</v>
      </c>
      <c r="F380" t="s">
        <v>60</v>
      </c>
      <c r="G380" t="s">
        <v>61</v>
      </c>
      <c r="H380" t="s">
        <v>31</v>
      </c>
      <c r="I380" t="s">
        <v>53</v>
      </c>
      <c r="J380">
        <v>186576.31</v>
      </c>
      <c r="K380" t="s">
        <v>49</v>
      </c>
      <c r="L380" s="2">
        <v>45294</v>
      </c>
      <c r="M380" t="s">
        <v>24</v>
      </c>
      <c r="N380">
        <v>2009292.64</v>
      </c>
      <c r="O380" t="s">
        <v>25</v>
      </c>
      <c r="P380">
        <f>YEAR('Main DataSet'!$L380)</f>
        <v>2024</v>
      </c>
      <c r="Q380">
        <f>MONTH('Main DataSet'!$L380)</f>
        <v>1</v>
      </c>
      <c r="R380" t="str">
        <f>TEXT('Main DataSet'!$L380,"MM-YYYY")</f>
        <v>01-2024</v>
      </c>
    </row>
    <row r="381" spans="1:18" ht="15.75" customHeight="1" x14ac:dyDescent="0.2">
      <c r="A381" t="s">
        <v>848</v>
      </c>
      <c r="B381">
        <v>954780</v>
      </c>
      <c r="C381" t="s">
        <v>849</v>
      </c>
      <c r="D381">
        <v>791330814917</v>
      </c>
      <c r="E381" t="s">
        <v>18</v>
      </c>
      <c r="F381" t="s">
        <v>156</v>
      </c>
      <c r="G381" t="s">
        <v>157</v>
      </c>
      <c r="H381" t="s">
        <v>31</v>
      </c>
      <c r="I381" t="s">
        <v>48</v>
      </c>
      <c r="J381">
        <v>189202.98</v>
      </c>
      <c r="K381" t="s">
        <v>23</v>
      </c>
      <c r="L381" s="2">
        <v>45787</v>
      </c>
      <c r="M381" t="s">
        <v>24</v>
      </c>
      <c r="N381">
        <v>1137529.71</v>
      </c>
      <c r="O381" t="s">
        <v>25</v>
      </c>
      <c r="P381">
        <f>YEAR('Main DataSet'!$L381)</f>
        <v>2025</v>
      </c>
      <c r="Q381">
        <f>MONTH('Main DataSet'!$L381)</f>
        <v>5</v>
      </c>
      <c r="R381" t="str">
        <f>TEXT('Main DataSet'!$L381,"MM-YYYY")</f>
        <v>05-2025</v>
      </c>
    </row>
    <row r="382" spans="1:18" ht="15.75" customHeight="1" x14ac:dyDescent="0.2">
      <c r="A382" t="s">
        <v>850</v>
      </c>
      <c r="B382">
        <v>171459</v>
      </c>
      <c r="C382" t="s">
        <v>851</v>
      </c>
      <c r="D382">
        <v>135190882700</v>
      </c>
      <c r="E382" t="s">
        <v>18</v>
      </c>
      <c r="F382" t="s">
        <v>19</v>
      </c>
      <c r="G382" t="s">
        <v>20</v>
      </c>
      <c r="H382" t="s">
        <v>21</v>
      </c>
      <c r="I382" t="s">
        <v>48</v>
      </c>
      <c r="J382">
        <v>102192.65</v>
      </c>
      <c r="K382" t="s">
        <v>49</v>
      </c>
      <c r="L382" s="2">
        <v>45237</v>
      </c>
      <c r="M382" t="s">
        <v>24</v>
      </c>
      <c r="N382">
        <v>564240.30999999994</v>
      </c>
      <c r="O382" t="s">
        <v>25</v>
      </c>
      <c r="P382">
        <f>YEAR('Main DataSet'!$L382)</f>
        <v>2023</v>
      </c>
      <c r="Q382">
        <f>MONTH('Main DataSet'!$L382)</f>
        <v>11</v>
      </c>
      <c r="R382" t="str">
        <f>TEXT('Main DataSet'!$L382,"MM-YYYY")</f>
        <v>11-2023</v>
      </c>
    </row>
    <row r="383" spans="1:18" ht="15.75" customHeight="1" x14ac:dyDescent="0.2">
      <c r="A383" t="s">
        <v>852</v>
      </c>
      <c r="B383">
        <v>568881</v>
      </c>
      <c r="C383" t="s">
        <v>853</v>
      </c>
      <c r="D383">
        <v>470200000951</v>
      </c>
      <c r="E383" t="s">
        <v>18</v>
      </c>
      <c r="F383" t="s">
        <v>19</v>
      </c>
      <c r="G383" t="s">
        <v>20</v>
      </c>
      <c r="H383" t="s">
        <v>21</v>
      </c>
      <c r="I383" t="s">
        <v>38</v>
      </c>
      <c r="J383">
        <v>20767.88</v>
      </c>
      <c r="K383" t="s">
        <v>32</v>
      </c>
      <c r="L383" s="2">
        <v>45449</v>
      </c>
      <c r="M383" t="s">
        <v>24</v>
      </c>
      <c r="N383">
        <v>1654884.72</v>
      </c>
      <c r="O383" t="s">
        <v>25</v>
      </c>
      <c r="P383">
        <f>YEAR('Main DataSet'!$L383)</f>
        <v>2024</v>
      </c>
      <c r="Q383">
        <f>MONTH('Main DataSet'!$L383)</f>
        <v>6</v>
      </c>
      <c r="R383" t="str">
        <f>TEXT('Main DataSet'!$L383,"MM-YYYY")</f>
        <v>06-2024</v>
      </c>
    </row>
    <row r="384" spans="1:18" ht="15.75" customHeight="1" x14ac:dyDescent="0.2">
      <c r="A384" t="s">
        <v>854</v>
      </c>
      <c r="B384">
        <v>179714</v>
      </c>
      <c r="C384" t="s">
        <v>855</v>
      </c>
      <c r="D384">
        <v>501001062311</v>
      </c>
      <c r="E384" t="s">
        <v>35</v>
      </c>
      <c r="F384" t="s">
        <v>42</v>
      </c>
      <c r="G384" t="s">
        <v>43</v>
      </c>
      <c r="H384" t="s">
        <v>31</v>
      </c>
      <c r="I384" t="s">
        <v>38</v>
      </c>
      <c r="J384">
        <v>84312.88</v>
      </c>
      <c r="K384" t="s">
        <v>49</v>
      </c>
      <c r="L384" s="2">
        <v>45697</v>
      </c>
      <c r="M384" t="s">
        <v>24</v>
      </c>
      <c r="N384">
        <v>812688.42</v>
      </c>
      <c r="O384" t="s">
        <v>25</v>
      </c>
      <c r="P384">
        <f>YEAR('Main DataSet'!$L384)</f>
        <v>2025</v>
      </c>
      <c r="Q384">
        <f>MONTH('Main DataSet'!$L384)</f>
        <v>2</v>
      </c>
      <c r="R384" t="str">
        <f>TEXT('Main DataSet'!$L384,"MM-YYYY")</f>
        <v>02-2025</v>
      </c>
    </row>
    <row r="385" spans="1:18" ht="15.75" customHeight="1" x14ac:dyDescent="0.2">
      <c r="A385" t="s">
        <v>856</v>
      </c>
      <c r="B385">
        <v>507234</v>
      </c>
      <c r="C385" t="s">
        <v>857</v>
      </c>
      <c r="D385">
        <v>878851872657</v>
      </c>
      <c r="E385" t="s">
        <v>91</v>
      </c>
      <c r="F385" t="s">
        <v>109</v>
      </c>
      <c r="G385" t="s">
        <v>110</v>
      </c>
      <c r="H385" t="s">
        <v>67</v>
      </c>
      <c r="I385" t="s">
        <v>22</v>
      </c>
      <c r="J385">
        <v>50275.6</v>
      </c>
      <c r="K385" t="s">
        <v>49</v>
      </c>
      <c r="L385" s="2">
        <v>45168</v>
      </c>
      <c r="M385" t="s">
        <v>24</v>
      </c>
      <c r="N385">
        <v>957657.80999999994</v>
      </c>
      <c r="O385" t="s">
        <v>25</v>
      </c>
      <c r="P385">
        <f>YEAR('Main DataSet'!$L385)</f>
        <v>2023</v>
      </c>
      <c r="Q385">
        <f>MONTH('Main DataSet'!$L385)</f>
        <v>8</v>
      </c>
      <c r="R385" t="str">
        <f>TEXT('Main DataSet'!$L385,"MM-YYYY")</f>
        <v>08-2023</v>
      </c>
    </row>
    <row r="386" spans="1:18" ht="15.75" customHeight="1" x14ac:dyDescent="0.2">
      <c r="A386" t="s">
        <v>858</v>
      </c>
      <c r="B386">
        <v>943899</v>
      </c>
      <c r="C386" t="s">
        <v>859</v>
      </c>
      <c r="D386">
        <v>474125754877</v>
      </c>
      <c r="E386" t="s">
        <v>91</v>
      </c>
      <c r="F386" t="s">
        <v>105</v>
      </c>
      <c r="G386" t="s">
        <v>106</v>
      </c>
      <c r="H386" t="s">
        <v>31</v>
      </c>
      <c r="I386" t="s">
        <v>22</v>
      </c>
      <c r="J386">
        <v>59673.87</v>
      </c>
      <c r="K386" t="s">
        <v>98</v>
      </c>
      <c r="L386" s="2">
        <v>45415</v>
      </c>
      <c r="M386" t="s">
        <v>24</v>
      </c>
      <c r="N386">
        <v>2031243.6</v>
      </c>
      <c r="O386" t="s">
        <v>25</v>
      </c>
      <c r="P386">
        <f>YEAR('Main DataSet'!$L386)</f>
        <v>2024</v>
      </c>
      <c r="Q386">
        <f>MONTH('Main DataSet'!$L386)</f>
        <v>5</v>
      </c>
      <c r="R386" t="str">
        <f>TEXT('Main DataSet'!$L386,"MM-YYYY")</f>
        <v>05-2024</v>
      </c>
    </row>
    <row r="387" spans="1:18" ht="15.75" customHeight="1" x14ac:dyDescent="0.2">
      <c r="A387" t="s">
        <v>860</v>
      </c>
      <c r="B387">
        <v>722523</v>
      </c>
      <c r="C387" t="s">
        <v>861</v>
      </c>
      <c r="D387">
        <v>498653114225</v>
      </c>
      <c r="E387" t="s">
        <v>18</v>
      </c>
      <c r="F387" t="s">
        <v>87</v>
      </c>
      <c r="G387" t="s">
        <v>88</v>
      </c>
      <c r="H387" t="s">
        <v>31</v>
      </c>
      <c r="I387" t="s">
        <v>22</v>
      </c>
      <c r="J387">
        <v>332407.67</v>
      </c>
      <c r="K387" t="s">
        <v>49</v>
      </c>
      <c r="L387" s="2">
        <v>45616</v>
      </c>
      <c r="M387" t="s">
        <v>24</v>
      </c>
      <c r="N387">
        <v>455920.87</v>
      </c>
      <c r="O387" t="s">
        <v>25</v>
      </c>
      <c r="P387">
        <f>YEAR('Main DataSet'!$L387)</f>
        <v>2024</v>
      </c>
      <c r="Q387">
        <f>MONTH('Main DataSet'!$L387)</f>
        <v>11</v>
      </c>
      <c r="R387" t="str">
        <f>TEXT('Main DataSet'!$L387,"MM-YYYY")</f>
        <v>11-2024</v>
      </c>
    </row>
    <row r="388" spans="1:18" ht="15.75" customHeight="1" x14ac:dyDescent="0.2">
      <c r="A388" t="s">
        <v>862</v>
      </c>
      <c r="B388">
        <v>427315</v>
      </c>
      <c r="C388" t="s">
        <v>863</v>
      </c>
      <c r="D388">
        <v>638707911830</v>
      </c>
      <c r="E388" t="s">
        <v>18</v>
      </c>
      <c r="F388" t="s">
        <v>46</v>
      </c>
      <c r="G388" t="s">
        <v>47</v>
      </c>
      <c r="H388" t="s">
        <v>21</v>
      </c>
      <c r="I388" t="s">
        <v>53</v>
      </c>
      <c r="J388">
        <v>350133.78</v>
      </c>
      <c r="K388" t="s">
        <v>98</v>
      </c>
      <c r="L388" s="2">
        <v>45690</v>
      </c>
      <c r="M388" t="s">
        <v>24</v>
      </c>
      <c r="N388">
        <v>1597588.23</v>
      </c>
      <c r="O388" t="s">
        <v>25</v>
      </c>
      <c r="P388">
        <f>YEAR('Main DataSet'!$L388)</f>
        <v>2025</v>
      </c>
      <c r="Q388">
        <f>MONTH('Main DataSet'!$L388)</f>
        <v>2</v>
      </c>
      <c r="R388" t="str">
        <f>TEXT('Main DataSet'!$L388,"MM-YYYY")</f>
        <v>02-2025</v>
      </c>
    </row>
    <row r="389" spans="1:18" ht="15.75" customHeight="1" x14ac:dyDescent="0.2">
      <c r="A389" t="s">
        <v>864</v>
      </c>
      <c r="B389">
        <v>528399</v>
      </c>
      <c r="C389" t="s">
        <v>865</v>
      </c>
      <c r="D389">
        <v>255848490692</v>
      </c>
      <c r="E389" t="s">
        <v>64</v>
      </c>
      <c r="F389" t="s">
        <v>83</v>
      </c>
      <c r="G389" t="s">
        <v>84</v>
      </c>
      <c r="H389" t="s">
        <v>70</v>
      </c>
      <c r="I389" t="s">
        <v>38</v>
      </c>
      <c r="J389">
        <v>23309.68</v>
      </c>
      <c r="K389" t="s">
        <v>98</v>
      </c>
      <c r="L389" s="2">
        <v>45632</v>
      </c>
      <c r="M389" t="s">
        <v>24</v>
      </c>
      <c r="N389">
        <v>1385627.33</v>
      </c>
      <c r="O389" t="s">
        <v>25</v>
      </c>
      <c r="P389">
        <f>YEAR('Main DataSet'!$L389)</f>
        <v>2024</v>
      </c>
      <c r="Q389">
        <f>MONTH('Main DataSet'!$L389)</f>
        <v>12</v>
      </c>
      <c r="R389" t="str">
        <f>TEXT('Main DataSet'!$L389,"MM-YYYY")</f>
        <v>12-2024</v>
      </c>
    </row>
    <row r="390" spans="1:18" ht="15.75" customHeight="1" x14ac:dyDescent="0.2">
      <c r="A390" t="s">
        <v>866</v>
      </c>
      <c r="B390">
        <v>464910</v>
      </c>
      <c r="C390" t="s">
        <v>867</v>
      </c>
      <c r="D390">
        <v>539041777767</v>
      </c>
      <c r="E390" t="s">
        <v>35</v>
      </c>
      <c r="F390" t="s">
        <v>36</v>
      </c>
      <c r="G390" t="s">
        <v>37</v>
      </c>
      <c r="H390" t="s">
        <v>31</v>
      </c>
      <c r="I390" t="s">
        <v>48</v>
      </c>
      <c r="J390">
        <v>286156.07</v>
      </c>
      <c r="K390" t="s">
        <v>32</v>
      </c>
      <c r="L390" s="2">
        <v>45548</v>
      </c>
      <c r="M390" t="s">
        <v>113</v>
      </c>
      <c r="N390">
        <v>563593.56000000006</v>
      </c>
      <c r="O390" t="s">
        <v>25</v>
      </c>
      <c r="P390">
        <f>YEAR('Main DataSet'!$L390)</f>
        <v>2024</v>
      </c>
      <c r="Q390">
        <f>MONTH('Main DataSet'!$L390)</f>
        <v>9</v>
      </c>
      <c r="R390" t="str">
        <f>TEXT('Main DataSet'!$L390,"MM-YYYY")</f>
        <v>09-2024</v>
      </c>
    </row>
    <row r="391" spans="1:18" ht="15.75" customHeight="1" x14ac:dyDescent="0.2">
      <c r="A391" t="s">
        <v>868</v>
      </c>
      <c r="B391">
        <v>524813</v>
      </c>
      <c r="C391" t="s">
        <v>869</v>
      </c>
      <c r="D391">
        <v>845243604313</v>
      </c>
      <c r="E391" t="s">
        <v>91</v>
      </c>
      <c r="F391" t="s">
        <v>162</v>
      </c>
      <c r="G391" t="s">
        <v>163</v>
      </c>
      <c r="H391" t="s">
        <v>70</v>
      </c>
      <c r="I391" t="s">
        <v>22</v>
      </c>
      <c r="J391">
        <v>363834.7</v>
      </c>
      <c r="K391" t="s">
        <v>32</v>
      </c>
      <c r="L391" s="2">
        <v>45172</v>
      </c>
      <c r="M391" t="s">
        <v>24</v>
      </c>
      <c r="N391">
        <v>1065625.76</v>
      </c>
      <c r="O391" t="s">
        <v>25</v>
      </c>
      <c r="P391">
        <f>YEAR('Main DataSet'!$L391)</f>
        <v>2023</v>
      </c>
      <c r="Q391">
        <f>MONTH('Main DataSet'!$L391)</f>
        <v>9</v>
      </c>
      <c r="R391" t="str">
        <f>TEXT('Main DataSet'!$L391,"MM-YYYY")</f>
        <v>09-2023</v>
      </c>
    </row>
    <row r="392" spans="1:18" ht="15.75" customHeight="1" x14ac:dyDescent="0.2">
      <c r="A392" t="s">
        <v>870</v>
      </c>
      <c r="B392">
        <v>530475</v>
      </c>
      <c r="C392" t="s">
        <v>871</v>
      </c>
      <c r="D392">
        <v>810813549197</v>
      </c>
      <c r="E392" t="s">
        <v>28</v>
      </c>
      <c r="F392" t="s">
        <v>216</v>
      </c>
      <c r="G392" t="s">
        <v>217</v>
      </c>
      <c r="H392" t="s">
        <v>31</v>
      </c>
      <c r="I392" t="s">
        <v>22</v>
      </c>
      <c r="J392">
        <v>138404.46</v>
      </c>
      <c r="K392" t="s">
        <v>49</v>
      </c>
      <c r="L392" s="2">
        <v>45215</v>
      </c>
      <c r="M392" t="s">
        <v>24</v>
      </c>
      <c r="N392">
        <v>254646.03</v>
      </c>
      <c r="O392" t="s">
        <v>25</v>
      </c>
      <c r="P392">
        <f>YEAR('Main DataSet'!$L392)</f>
        <v>2023</v>
      </c>
      <c r="Q392">
        <f>MONTH('Main DataSet'!$L392)</f>
        <v>10</v>
      </c>
      <c r="R392" t="str">
        <f>TEXT('Main DataSet'!$L392,"MM-YYYY")</f>
        <v>10-2023</v>
      </c>
    </row>
    <row r="393" spans="1:18" ht="15.75" customHeight="1" x14ac:dyDescent="0.2">
      <c r="A393" t="s">
        <v>872</v>
      </c>
      <c r="B393">
        <v>842079</v>
      </c>
      <c r="C393" t="s">
        <v>873</v>
      </c>
      <c r="D393">
        <v>185744473826</v>
      </c>
      <c r="E393" t="s">
        <v>91</v>
      </c>
      <c r="F393" t="s">
        <v>92</v>
      </c>
      <c r="G393" t="s">
        <v>93</v>
      </c>
      <c r="H393" t="s">
        <v>67</v>
      </c>
      <c r="I393" t="s">
        <v>53</v>
      </c>
      <c r="J393">
        <v>174088.39</v>
      </c>
      <c r="K393" t="s">
        <v>98</v>
      </c>
      <c r="L393" s="2">
        <v>45576</v>
      </c>
      <c r="M393" t="s">
        <v>24</v>
      </c>
      <c r="N393">
        <v>913093.72</v>
      </c>
      <c r="O393" t="s">
        <v>25</v>
      </c>
      <c r="P393">
        <f>YEAR('Main DataSet'!$L393)</f>
        <v>2024</v>
      </c>
      <c r="Q393">
        <f>MONTH('Main DataSet'!$L393)</f>
        <v>10</v>
      </c>
      <c r="R393" t="str">
        <f>TEXT('Main DataSet'!$L393,"MM-YYYY")</f>
        <v>10-2024</v>
      </c>
    </row>
    <row r="394" spans="1:18" ht="15.75" customHeight="1" x14ac:dyDescent="0.2">
      <c r="A394" t="s">
        <v>874</v>
      </c>
      <c r="B394">
        <v>316483</v>
      </c>
      <c r="C394" t="s">
        <v>875</v>
      </c>
      <c r="D394">
        <v>370264472621</v>
      </c>
      <c r="E394" t="s">
        <v>64</v>
      </c>
      <c r="F394" t="s">
        <v>177</v>
      </c>
      <c r="G394" t="s">
        <v>178</v>
      </c>
      <c r="H394" t="s">
        <v>21</v>
      </c>
      <c r="I394" t="s">
        <v>53</v>
      </c>
      <c r="J394">
        <v>17664.689999999999</v>
      </c>
      <c r="K394" t="s">
        <v>49</v>
      </c>
      <c r="L394" s="2">
        <v>45768</v>
      </c>
      <c r="M394" t="s">
        <v>24</v>
      </c>
      <c r="N394">
        <v>192599.89</v>
      </c>
      <c r="O394" t="s">
        <v>25</v>
      </c>
      <c r="P394">
        <f>YEAR('Main DataSet'!$L394)</f>
        <v>2025</v>
      </c>
      <c r="Q394">
        <f>MONTH('Main DataSet'!$L394)</f>
        <v>4</v>
      </c>
      <c r="R394" t="str">
        <f>TEXT('Main DataSet'!$L394,"MM-YYYY")</f>
        <v>04-2025</v>
      </c>
    </row>
    <row r="395" spans="1:18" ht="15.75" customHeight="1" x14ac:dyDescent="0.2">
      <c r="A395" t="s">
        <v>876</v>
      </c>
      <c r="B395">
        <v>167811</v>
      </c>
      <c r="C395" t="s">
        <v>877</v>
      </c>
      <c r="D395">
        <v>268731699044</v>
      </c>
      <c r="E395" t="s">
        <v>91</v>
      </c>
      <c r="F395" t="s">
        <v>130</v>
      </c>
      <c r="G395" t="s">
        <v>131</v>
      </c>
      <c r="H395" t="s">
        <v>67</v>
      </c>
      <c r="I395" t="s">
        <v>53</v>
      </c>
      <c r="J395">
        <v>35630.32</v>
      </c>
      <c r="K395" t="s">
        <v>23</v>
      </c>
      <c r="L395" s="2">
        <v>45199</v>
      </c>
      <c r="M395" t="s">
        <v>24</v>
      </c>
      <c r="N395">
        <v>972098.69</v>
      </c>
      <c r="O395" t="s">
        <v>25</v>
      </c>
      <c r="P395">
        <f>YEAR('Main DataSet'!$L395)</f>
        <v>2023</v>
      </c>
      <c r="Q395">
        <f>MONTH('Main DataSet'!$L395)</f>
        <v>9</v>
      </c>
      <c r="R395" t="str">
        <f>TEXT('Main DataSet'!$L395,"MM-YYYY")</f>
        <v>09-2023</v>
      </c>
    </row>
    <row r="396" spans="1:18" ht="15.75" customHeight="1" x14ac:dyDescent="0.2">
      <c r="A396" t="s">
        <v>878</v>
      </c>
      <c r="B396">
        <v>734296</v>
      </c>
      <c r="C396" t="s">
        <v>879</v>
      </c>
      <c r="D396">
        <v>929691446167</v>
      </c>
      <c r="E396" t="s">
        <v>18</v>
      </c>
      <c r="F396" t="s">
        <v>19</v>
      </c>
      <c r="G396" t="s">
        <v>20</v>
      </c>
      <c r="H396" t="s">
        <v>67</v>
      </c>
      <c r="I396" t="s">
        <v>53</v>
      </c>
      <c r="J396">
        <v>373735.38</v>
      </c>
      <c r="K396" t="s">
        <v>49</v>
      </c>
      <c r="L396" s="2">
        <v>45400</v>
      </c>
      <c r="M396" t="s">
        <v>24</v>
      </c>
      <c r="N396">
        <v>562280.92000000004</v>
      </c>
      <c r="O396" t="s">
        <v>25</v>
      </c>
      <c r="P396">
        <f>YEAR('Main DataSet'!$L396)</f>
        <v>2024</v>
      </c>
      <c r="Q396">
        <f>MONTH('Main DataSet'!$L396)</f>
        <v>4</v>
      </c>
      <c r="R396" t="str">
        <f>TEXT('Main DataSet'!$L396,"MM-YYYY")</f>
        <v>04-2024</v>
      </c>
    </row>
    <row r="397" spans="1:18" ht="15.75" customHeight="1" x14ac:dyDescent="0.2">
      <c r="A397" t="s">
        <v>880</v>
      </c>
      <c r="B397">
        <v>807933</v>
      </c>
      <c r="C397" t="s">
        <v>881</v>
      </c>
      <c r="D397">
        <v>137391799979</v>
      </c>
      <c r="E397" t="s">
        <v>35</v>
      </c>
      <c r="F397" t="s">
        <v>73</v>
      </c>
      <c r="G397" t="s">
        <v>74</v>
      </c>
      <c r="H397" t="s">
        <v>21</v>
      </c>
      <c r="I397" t="s">
        <v>48</v>
      </c>
      <c r="J397">
        <v>274709.48</v>
      </c>
      <c r="K397" t="s">
        <v>49</v>
      </c>
      <c r="L397" s="2">
        <v>45665</v>
      </c>
      <c r="M397" t="s">
        <v>24</v>
      </c>
      <c r="N397">
        <v>827374.07999999996</v>
      </c>
      <c r="O397" t="s">
        <v>25</v>
      </c>
      <c r="P397">
        <f>YEAR('Main DataSet'!$L397)</f>
        <v>2025</v>
      </c>
      <c r="Q397">
        <f>MONTH('Main DataSet'!$L397)</f>
        <v>1</v>
      </c>
      <c r="R397" t="str">
        <f>TEXT('Main DataSet'!$L397,"MM-YYYY")</f>
        <v>01-2025</v>
      </c>
    </row>
    <row r="398" spans="1:18" ht="15.75" customHeight="1" x14ac:dyDescent="0.2">
      <c r="A398" t="s">
        <v>882</v>
      </c>
      <c r="B398">
        <v>595797</v>
      </c>
      <c r="C398" t="s">
        <v>883</v>
      </c>
      <c r="D398">
        <v>206574366417</v>
      </c>
      <c r="E398" t="s">
        <v>64</v>
      </c>
      <c r="F398" t="s">
        <v>166</v>
      </c>
      <c r="G398" t="s">
        <v>167</v>
      </c>
      <c r="H398" t="s">
        <v>31</v>
      </c>
      <c r="I398" t="s">
        <v>38</v>
      </c>
      <c r="J398">
        <v>47207.39</v>
      </c>
      <c r="K398" t="s">
        <v>32</v>
      </c>
      <c r="L398" s="2">
        <v>45681</v>
      </c>
      <c r="M398" t="s">
        <v>24</v>
      </c>
      <c r="N398">
        <v>1330535.8400000001</v>
      </c>
      <c r="O398" t="s">
        <v>25</v>
      </c>
      <c r="P398">
        <f>YEAR('Main DataSet'!$L398)</f>
        <v>2025</v>
      </c>
      <c r="Q398">
        <f>MONTH('Main DataSet'!$L398)</f>
        <v>1</v>
      </c>
      <c r="R398" t="str">
        <f>TEXT('Main DataSet'!$L398,"MM-YYYY")</f>
        <v>01-2025</v>
      </c>
    </row>
    <row r="399" spans="1:18" ht="15.75" customHeight="1" x14ac:dyDescent="0.2">
      <c r="A399" t="s">
        <v>884</v>
      </c>
      <c r="B399">
        <v>638327</v>
      </c>
      <c r="C399" t="s">
        <v>885</v>
      </c>
      <c r="D399">
        <v>886848235656</v>
      </c>
      <c r="E399" t="s">
        <v>64</v>
      </c>
      <c r="F399" t="s">
        <v>146</v>
      </c>
      <c r="G399" t="s">
        <v>147</v>
      </c>
      <c r="H399" t="s">
        <v>21</v>
      </c>
      <c r="I399" t="s">
        <v>48</v>
      </c>
      <c r="J399">
        <v>53920.36</v>
      </c>
      <c r="K399" t="s">
        <v>49</v>
      </c>
      <c r="L399" s="2">
        <v>45347</v>
      </c>
      <c r="M399" t="s">
        <v>24</v>
      </c>
      <c r="N399">
        <v>557423.14</v>
      </c>
      <c r="O399" t="s">
        <v>25</v>
      </c>
      <c r="P399">
        <f>YEAR('Main DataSet'!$L399)</f>
        <v>2024</v>
      </c>
      <c r="Q399">
        <f>MONTH('Main DataSet'!$L399)</f>
        <v>2</v>
      </c>
      <c r="R399" t="str">
        <f>TEXT('Main DataSet'!$L399,"MM-YYYY")</f>
        <v>02-2024</v>
      </c>
    </row>
    <row r="400" spans="1:18" ht="15.75" customHeight="1" x14ac:dyDescent="0.2">
      <c r="A400" t="s">
        <v>886</v>
      </c>
      <c r="B400">
        <v>154017</v>
      </c>
      <c r="C400" t="s">
        <v>887</v>
      </c>
      <c r="D400">
        <v>399275894137</v>
      </c>
      <c r="E400" t="s">
        <v>64</v>
      </c>
      <c r="F400" t="s">
        <v>146</v>
      </c>
      <c r="G400" t="s">
        <v>147</v>
      </c>
      <c r="H400" t="s">
        <v>31</v>
      </c>
      <c r="I400" t="s">
        <v>48</v>
      </c>
      <c r="J400">
        <v>10220.280000000001</v>
      </c>
      <c r="K400" t="s">
        <v>98</v>
      </c>
      <c r="L400" s="2">
        <v>45279</v>
      </c>
      <c r="M400" t="s">
        <v>24</v>
      </c>
      <c r="N400">
        <v>1490511.61</v>
      </c>
      <c r="O400" t="s">
        <v>25</v>
      </c>
      <c r="P400">
        <f>YEAR('Main DataSet'!$L400)</f>
        <v>2023</v>
      </c>
      <c r="Q400">
        <f>MONTH('Main DataSet'!$L400)</f>
        <v>12</v>
      </c>
      <c r="R400" t="str">
        <f>TEXT('Main DataSet'!$L400,"MM-YYYY")</f>
        <v>12-2023</v>
      </c>
    </row>
    <row r="401" spans="1:18" ht="15.75" customHeight="1" x14ac:dyDescent="0.2">
      <c r="A401" t="s">
        <v>888</v>
      </c>
      <c r="B401">
        <v>764808</v>
      </c>
      <c r="C401" t="s">
        <v>889</v>
      </c>
      <c r="D401">
        <v>790847728908</v>
      </c>
      <c r="E401" t="s">
        <v>91</v>
      </c>
      <c r="F401" t="s">
        <v>105</v>
      </c>
      <c r="G401" t="s">
        <v>106</v>
      </c>
      <c r="H401" t="s">
        <v>21</v>
      </c>
      <c r="I401" t="s">
        <v>48</v>
      </c>
      <c r="J401">
        <v>206210.04</v>
      </c>
      <c r="K401" t="s">
        <v>49</v>
      </c>
      <c r="L401" s="2">
        <v>45685</v>
      </c>
      <c r="M401" t="s">
        <v>24</v>
      </c>
      <c r="N401">
        <v>2094313.48</v>
      </c>
      <c r="O401" t="s">
        <v>25</v>
      </c>
      <c r="P401">
        <f>YEAR('Main DataSet'!$L401)</f>
        <v>2025</v>
      </c>
      <c r="Q401">
        <f>MONTH('Main DataSet'!$L401)</f>
        <v>1</v>
      </c>
      <c r="R401" t="str">
        <f>TEXT('Main DataSet'!$L401,"MM-YYYY")</f>
        <v>01-2025</v>
      </c>
    </row>
    <row r="402" spans="1:18" ht="15.75" customHeight="1" x14ac:dyDescent="0.2">
      <c r="A402" t="s">
        <v>890</v>
      </c>
      <c r="B402">
        <v>423000</v>
      </c>
      <c r="C402" t="s">
        <v>891</v>
      </c>
      <c r="D402">
        <v>920735094027</v>
      </c>
      <c r="E402" t="s">
        <v>64</v>
      </c>
      <c r="F402" t="s">
        <v>177</v>
      </c>
      <c r="G402" t="s">
        <v>178</v>
      </c>
      <c r="H402" t="s">
        <v>21</v>
      </c>
      <c r="I402" t="s">
        <v>48</v>
      </c>
      <c r="J402">
        <v>215474.39</v>
      </c>
      <c r="K402" t="s">
        <v>39</v>
      </c>
      <c r="L402" s="2">
        <v>45573</v>
      </c>
      <c r="M402" t="s">
        <v>24</v>
      </c>
      <c r="N402">
        <v>1178451.6100000001</v>
      </c>
      <c r="O402" t="s">
        <v>25</v>
      </c>
      <c r="P402">
        <f>YEAR('Main DataSet'!$L402)</f>
        <v>2024</v>
      </c>
      <c r="Q402">
        <f>MONTH('Main DataSet'!$L402)</f>
        <v>10</v>
      </c>
      <c r="R402" t="str">
        <f>TEXT('Main DataSet'!$L402,"MM-YYYY")</f>
        <v>10-2024</v>
      </c>
    </row>
    <row r="403" spans="1:18" ht="15.75" customHeight="1" x14ac:dyDescent="0.2">
      <c r="A403" t="s">
        <v>892</v>
      </c>
      <c r="B403">
        <v>130377</v>
      </c>
      <c r="C403" t="s">
        <v>893</v>
      </c>
      <c r="D403">
        <v>985849548224</v>
      </c>
      <c r="E403" t="s">
        <v>35</v>
      </c>
      <c r="F403" t="s">
        <v>73</v>
      </c>
      <c r="G403" t="s">
        <v>74</v>
      </c>
      <c r="H403" t="s">
        <v>67</v>
      </c>
      <c r="I403" t="s">
        <v>48</v>
      </c>
      <c r="J403">
        <v>70527.759999999995</v>
      </c>
      <c r="K403" t="s">
        <v>32</v>
      </c>
      <c r="L403" s="2">
        <v>45541</v>
      </c>
      <c r="M403" t="s">
        <v>24</v>
      </c>
      <c r="N403">
        <v>379125.15</v>
      </c>
      <c r="O403" t="s">
        <v>25</v>
      </c>
      <c r="P403">
        <f>YEAR('Main DataSet'!$L403)</f>
        <v>2024</v>
      </c>
      <c r="Q403">
        <f>MONTH('Main DataSet'!$L403)</f>
        <v>9</v>
      </c>
      <c r="R403" t="str">
        <f>TEXT('Main DataSet'!$L403,"MM-YYYY")</f>
        <v>09-2024</v>
      </c>
    </row>
    <row r="404" spans="1:18" ht="15.75" customHeight="1" x14ac:dyDescent="0.2">
      <c r="A404" t="s">
        <v>894</v>
      </c>
      <c r="B404">
        <v>460288</v>
      </c>
      <c r="C404" t="s">
        <v>895</v>
      </c>
      <c r="D404">
        <v>843965511244</v>
      </c>
      <c r="E404" t="s">
        <v>91</v>
      </c>
      <c r="F404" t="s">
        <v>162</v>
      </c>
      <c r="G404" t="s">
        <v>163</v>
      </c>
      <c r="H404" t="s">
        <v>21</v>
      </c>
      <c r="I404" t="s">
        <v>22</v>
      </c>
      <c r="J404">
        <v>512577</v>
      </c>
      <c r="K404" t="s">
        <v>32</v>
      </c>
      <c r="L404" s="2">
        <v>45303</v>
      </c>
      <c r="M404" t="s">
        <v>24</v>
      </c>
      <c r="N404">
        <v>1566981.75</v>
      </c>
      <c r="O404" t="s">
        <v>25</v>
      </c>
      <c r="P404">
        <f>YEAR('Main DataSet'!$L404)</f>
        <v>2024</v>
      </c>
      <c r="Q404">
        <f>MONTH('Main DataSet'!$L404)</f>
        <v>1</v>
      </c>
      <c r="R404" t="str">
        <f>TEXT('Main DataSet'!$L404,"MM-YYYY")</f>
        <v>01-2024</v>
      </c>
    </row>
    <row r="405" spans="1:18" ht="15.75" customHeight="1" x14ac:dyDescent="0.2">
      <c r="A405" t="s">
        <v>896</v>
      </c>
      <c r="B405">
        <v>965955</v>
      </c>
      <c r="C405" t="s">
        <v>897</v>
      </c>
      <c r="D405">
        <v>737028625937</v>
      </c>
      <c r="E405" t="s">
        <v>91</v>
      </c>
      <c r="F405" t="s">
        <v>109</v>
      </c>
      <c r="G405" t="s">
        <v>110</v>
      </c>
      <c r="H405" t="s">
        <v>21</v>
      </c>
      <c r="I405" t="s">
        <v>48</v>
      </c>
      <c r="J405">
        <v>155790.78</v>
      </c>
      <c r="K405" t="s">
        <v>32</v>
      </c>
      <c r="L405" s="2">
        <v>45428</v>
      </c>
      <c r="M405" t="s">
        <v>113</v>
      </c>
      <c r="N405">
        <v>1689624.8</v>
      </c>
      <c r="O405" t="s">
        <v>25</v>
      </c>
      <c r="P405">
        <f>YEAR('Main DataSet'!$L405)</f>
        <v>2024</v>
      </c>
      <c r="Q405">
        <f>MONTH('Main DataSet'!$L405)</f>
        <v>5</v>
      </c>
      <c r="R405" t="str">
        <f>TEXT('Main DataSet'!$L405,"MM-YYYY")</f>
        <v>05-2024</v>
      </c>
    </row>
    <row r="406" spans="1:18" ht="15.75" customHeight="1" x14ac:dyDescent="0.2">
      <c r="A406" t="s">
        <v>898</v>
      </c>
      <c r="B406">
        <v>118796</v>
      </c>
      <c r="C406" t="s">
        <v>899</v>
      </c>
      <c r="D406">
        <v>680174339647</v>
      </c>
      <c r="E406" t="s">
        <v>91</v>
      </c>
      <c r="F406" t="s">
        <v>109</v>
      </c>
      <c r="G406" t="s">
        <v>110</v>
      </c>
      <c r="H406" t="s">
        <v>31</v>
      </c>
      <c r="I406" t="s">
        <v>38</v>
      </c>
      <c r="J406">
        <v>65204.76</v>
      </c>
      <c r="K406" t="s">
        <v>23</v>
      </c>
      <c r="L406" s="2">
        <v>45440</v>
      </c>
      <c r="M406" t="s">
        <v>24</v>
      </c>
      <c r="N406">
        <v>1799671.19</v>
      </c>
      <c r="O406" t="s">
        <v>25</v>
      </c>
      <c r="P406">
        <f>YEAR('Main DataSet'!$L406)</f>
        <v>2024</v>
      </c>
      <c r="Q406">
        <f>MONTH('Main DataSet'!$L406)</f>
        <v>5</v>
      </c>
      <c r="R406" t="str">
        <f>TEXT('Main DataSet'!$L406,"MM-YYYY")</f>
        <v>05-2024</v>
      </c>
    </row>
    <row r="407" spans="1:18" ht="15.75" customHeight="1" x14ac:dyDescent="0.2">
      <c r="A407" t="s">
        <v>900</v>
      </c>
      <c r="B407">
        <v>812461</v>
      </c>
      <c r="C407" t="s">
        <v>901</v>
      </c>
      <c r="D407">
        <v>913958837565</v>
      </c>
      <c r="E407" t="s">
        <v>28</v>
      </c>
      <c r="F407" t="s">
        <v>216</v>
      </c>
      <c r="G407" t="s">
        <v>217</v>
      </c>
      <c r="H407" t="s">
        <v>67</v>
      </c>
      <c r="I407" t="s">
        <v>38</v>
      </c>
      <c r="J407">
        <v>99147.16</v>
      </c>
      <c r="K407" t="s">
        <v>49</v>
      </c>
      <c r="L407" s="2">
        <v>45354</v>
      </c>
      <c r="M407" t="s">
        <v>24</v>
      </c>
      <c r="N407">
        <v>1505998.48</v>
      </c>
      <c r="O407" t="s">
        <v>25</v>
      </c>
      <c r="P407">
        <f>YEAR('Main DataSet'!$L407)</f>
        <v>2024</v>
      </c>
      <c r="Q407">
        <f>MONTH('Main DataSet'!$L407)</f>
        <v>3</v>
      </c>
      <c r="R407" t="str">
        <f>TEXT('Main DataSet'!$L407,"MM-YYYY")</f>
        <v>03-2024</v>
      </c>
    </row>
    <row r="408" spans="1:18" ht="15.75" customHeight="1" x14ac:dyDescent="0.2">
      <c r="A408" t="s">
        <v>902</v>
      </c>
      <c r="B408">
        <v>655225</v>
      </c>
      <c r="C408" t="s">
        <v>903</v>
      </c>
      <c r="D408">
        <v>653731524065</v>
      </c>
      <c r="E408" t="s">
        <v>28</v>
      </c>
      <c r="F408" t="s">
        <v>192</v>
      </c>
      <c r="G408" t="s">
        <v>193</v>
      </c>
      <c r="H408" t="s">
        <v>70</v>
      </c>
      <c r="I408" t="s">
        <v>22</v>
      </c>
      <c r="J408">
        <v>380588.13</v>
      </c>
      <c r="K408" t="s">
        <v>32</v>
      </c>
      <c r="L408" s="2">
        <v>45821</v>
      </c>
      <c r="M408" t="s">
        <v>24</v>
      </c>
      <c r="N408">
        <v>2102641.09</v>
      </c>
      <c r="O408" t="s">
        <v>25</v>
      </c>
      <c r="P408">
        <f>YEAR('Main DataSet'!$L408)</f>
        <v>2025</v>
      </c>
      <c r="Q408">
        <f>MONTH('Main DataSet'!$L408)</f>
        <v>6</v>
      </c>
      <c r="R408" t="str">
        <f>TEXT('Main DataSet'!$L408,"MM-YYYY")</f>
        <v>06-2025</v>
      </c>
    </row>
    <row r="409" spans="1:18" ht="15.75" customHeight="1" x14ac:dyDescent="0.2">
      <c r="A409" t="s">
        <v>904</v>
      </c>
      <c r="B409">
        <v>761846</v>
      </c>
      <c r="C409" t="s">
        <v>905</v>
      </c>
      <c r="D409">
        <v>847891210164</v>
      </c>
      <c r="E409" t="s">
        <v>28</v>
      </c>
      <c r="F409" t="s">
        <v>79</v>
      </c>
      <c r="G409" t="s">
        <v>80</v>
      </c>
      <c r="H409" t="s">
        <v>67</v>
      </c>
      <c r="I409" t="s">
        <v>53</v>
      </c>
      <c r="J409">
        <v>15732.38</v>
      </c>
      <c r="K409" t="s">
        <v>98</v>
      </c>
      <c r="L409" s="2">
        <v>45366</v>
      </c>
      <c r="M409" t="s">
        <v>24</v>
      </c>
      <c r="N409">
        <v>1410079.97</v>
      </c>
      <c r="O409" t="s">
        <v>179</v>
      </c>
      <c r="P409">
        <f>YEAR('Main DataSet'!$L409)</f>
        <v>2024</v>
      </c>
      <c r="Q409">
        <f>MONTH('Main DataSet'!$L409)</f>
        <v>3</v>
      </c>
      <c r="R409" t="str">
        <f>TEXT('Main DataSet'!$L409,"MM-YYYY")</f>
        <v>03-2024</v>
      </c>
    </row>
    <row r="410" spans="1:18" ht="15.75" customHeight="1" x14ac:dyDescent="0.2">
      <c r="A410" t="s">
        <v>906</v>
      </c>
      <c r="B410">
        <v>603602</v>
      </c>
      <c r="C410" t="s">
        <v>907</v>
      </c>
      <c r="D410">
        <v>214912003953</v>
      </c>
      <c r="E410" t="s">
        <v>28</v>
      </c>
      <c r="F410" t="s">
        <v>192</v>
      </c>
      <c r="G410" t="s">
        <v>193</v>
      </c>
      <c r="H410" t="s">
        <v>67</v>
      </c>
      <c r="I410" t="s">
        <v>48</v>
      </c>
      <c r="J410">
        <v>66658.89</v>
      </c>
      <c r="K410" t="s">
        <v>32</v>
      </c>
      <c r="L410" s="2">
        <v>45264</v>
      </c>
      <c r="M410" t="s">
        <v>24</v>
      </c>
      <c r="N410">
        <v>846851.16</v>
      </c>
      <c r="O410" t="s">
        <v>25</v>
      </c>
      <c r="P410">
        <f>YEAR('Main DataSet'!$L410)</f>
        <v>2023</v>
      </c>
      <c r="Q410">
        <f>MONTH('Main DataSet'!$L410)</f>
        <v>12</v>
      </c>
      <c r="R410" t="str">
        <f>TEXT('Main DataSet'!$L410,"MM-YYYY")</f>
        <v>12-2023</v>
      </c>
    </row>
    <row r="411" spans="1:18" ht="15.75" customHeight="1" x14ac:dyDescent="0.2">
      <c r="A411" t="s">
        <v>908</v>
      </c>
      <c r="B411">
        <v>771785</v>
      </c>
      <c r="C411" t="s">
        <v>909</v>
      </c>
      <c r="D411">
        <v>160325421103</v>
      </c>
      <c r="E411" t="s">
        <v>28</v>
      </c>
      <c r="F411" t="s">
        <v>29</v>
      </c>
      <c r="G411" t="s">
        <v>30</v>
      </c>
      <c r="H411" t="s">
        <v>21</v>
      </c>
      <c r="I411" t="s">
        <v>53</v>
      </c>
      <c r="J411">
        <v>15483.43</v>
      </c>
      <c r="K411" t="s">
        <v>23</v>
      </c>
      <c r="L411" s="2">
        <v>45459</v>
      </c>
      <c r="M411" t="s">
        <v>24</v>
      </c>
      <c r="N411">
        <v>338089.14</v>
      </c>
      <c r="O411" t="s">
        <v>25</v>
      </c>
      <c r="P411">
        <f>YEAR('Main DataSet'!$L411)</f>
        <v>2024</v>
      </c>
      <c r="Q411">
        <f>MONTH('Main DataSet'!$L411)</f>
        <v>6</v>
      </c>
      <c r="R411" t="str">
        <f>TEXT('Main DataSet'!$L411,"MM-YYYY")</f>
        <v>06-2024</v>
      </c>
    </row>
    <row r="412" spans="1:18" ht="15.75" customHeight="1" x14ac:dyDescent="0.2">
      <c r="A412" t="s">
        <v>910</v>
      </c>
      <c r="B412">
        <v>690698</v>
      </c>
      <c r="C412" t="s">
        <v>911</v>
      </c>
      <c r="D412">
        <v>602975157401</v>
      </c>
      <c r="E412" t="s">
        <v>28</v>
      </c>
      <c r="F412" t="s">
        <v>29</v>
      </c>
      <c r="G412" t="s">
        <v>30</v>
      </c>
      <c r="H412" t="s">
        <v>31</v>
      </c>
      <c r="I412" t="s">
        <v>22</v>
      </c>
      <c r="J412">
        <v>188855.58</v>
      </c>
      <c r="K412" t="s">
        <v>32</v>
      </c>
      <c r="L412" s="2">
        <v>45738</v>
      </c>
      <c r="M412" t="s">
        <v>24</v>
      </c>
      <c r="N412">
        <v>1261486.8600000001</v>
      </c>
      <c r="O412" t="s">
        <v>25</v>
      </c>
      <c r="P412">
        <f>YEAR('Main DataSet'!$L412)</f>
        <v>2025</v>
      </c>
      <c r="Q412">
        <f>MONTH('Main DataSet'!$L412)</f>
        <v>3</v>
      </c>
      <c r="R412" t="str">
        <f>TEXT('Main DataSet'!$L412,"MM-YYYY")</f>
        <v>03-2025</v>
      </c>
    </row>
    <row r="413" spans="1:18" ht="15.75" customHeight="1" x14ac:dyDescent="0.2">
      <c r="A413" t="s">
        <v>912</v>
      </c>
      <c r="B413">
        <v>509024</v>
      </c>
      <c r="C413" t="s">
        <v>913</v>
      </c>
      <c r="D413">
        <v>942224459011</v>
      </c>
      <c r="E413" t="s">
        <v>28</v>
      </c>
      <c r="F413" t="s">
        <v>216</v>
      </c>
      <c r="G413" t="s">
        <v>217</v>
      </c>
      <c r="H413" t="s">
        <v>31</v>
      </c>
      <c r="I413" t="s">
        <v>22</v>
      </c>
      <c r="J413">
        <v>360614.5</v>
      </c>
      <c r="K413" t="s">
        <v>98</v>
      </c>
      <c r="L413" s="2">
        <v>45365</v>
      </c>
      <c r="M413" t="s">
        <v>24</v>
      </c>
      <c r="N413">
        <v>2008641.96</v>
      </c>
      <c r="O413" t="s">
        <v>25</v>
      </c>
      <c r="P413">
        <f>YEAR('Main DataSet'!$L413)</f>
        <v>2024</v>
      </c>
      <c r="Q413">
        <f>MONTH('Main DataSet'!$L413)</f>
        <v>3</v>
      </c>
      <c r="R413" t="str">
        <f>TEXT('Main DataSet'!$L413,"MM-YYYY")</f>
        <v>03-2024</v>
      </c>
    </row>
    <row r="414" spans="1:18" ht="15.75" customHeight="1" x14ac:dyDescent="0.2">
      <c r="A414" t="s">
        <v>914</v>
      </c>
      <c r="B414">
        <v>659674</v>
      </c>
      <c r="C414" t="s">
        <v>915</v>
      </c>
      <c r="D414">
        <v>834218669029</v>
      </c>
      <c r="E414" t="s">
        <v>64</v>
      </c>
      <c r="F414" t="s">
        <v>83</v>
      </c>
      <c r="G414" t="s">
        <v>84</v>
      </c>
      <c r="H414" t="s">
        <v>67</v>
      </c>
      <c r="I414" t="s">
        <v>22</v>
      </c>
      <c r="J414">
        <v>473663.77</v>
      </c>
      <c r="K414" t="s">
        <v>49</v>
      </c>
      <c r="L414" s="2">
        <v>45806</v>
      </c>
      <c r="M414" t="s">
        <v>24</v>
      </c>
      <c r="N414">
        <v>1298379.1299999999</v>
      </c>
      <c r="O414" t="s">
        <v>25</v>
      </c>
      <c r="P414">
        <f>YEAR('Main DataSet'!$L414)</f>
        <v>2025</v>
      </c>
      <c r="Q414">
        <f>MONTH('Main DataSet'!$L414)</f>
        <v>5</v>
      </c>
      <c r="R414" t="str">
        <f>TEXT('Main DataSet'!$L414,"MM-YYYY")</f>
        <v>05-2025</v>
      </c>
    </row>
    <row r="415" spans="1:18" ht="15.75" customHeight="1" x14ac:dyDescent="0.2">
      <c r="A415" t="s">
        <v>916</v>
      </c>
      <c r="B415">
        <v>147203</v>
      </c>
      <c r="C415" t="s">
        <v>917</v>
      </c>
      <c r="D415">
        <v>554908105827</v>
      </c>
      <c r="E415" t="s">
        <v>28</v>
      </c>
      <c r="F415" t="s">
        <v>192</v>
      </c>
      <c r="G415" t="s">
        <v>193</v>
      </c>
      <c r="H415" t="s">
        <v>70</v>
      </c>
      <c r="I415" t="s">
        <v>53</v>
      </c>
      <c r="J415">
        <v>98802.85</v>
      </c>
      <c r="K415" t="s">
        <v>23</v>
      </c>
      <c r="L415" s="2">
        <v>45401</v>
      </c>
      <c r="M415" t="s">
        <v>24</v>
      </c>
      <c r="N415">
        <v>2006752.03</v>
      </c>
      <c r="O415" t="s">
        <v>25</v>
      </c>
      <c r="P415">
        <f>YEAR('Main DataSet'!$L415)</f>
        <v>2024</v>
      </c>
      <c r="Q415">
        <f>MONTH('Main DataSet'!$L415)</f>
        <v>4</v>
      </c>
      <c r="R415" t="str">
        <f>TEXT('Main DataSet'!$L415,"MM-YYYY")</f>
        <v>04-2024</v>
      </c>
    </row>
    <row r="416" spans="1:18" ht="15.75" customHeight="1" x14ac:dyDescent="0.2">
      <c r="A416" t="s">
        <v>918</v>
      </c>
      <c r="B416">
        <v>780768</v>
      </c>
      <c r="C416" t="s">
        <v>919</v>
      </c>
      <c r="D416">
        <v>815919059377</v>
      </c>
      <c r="E416" t="s">
        <v>91</v>
      </c>
      <c r="F416" t="s">
        <v>109</v>
      </c>
      <c r="G416" t="s">
        <v>110</v>
      </c>
      <c r="H416" t="s">
        <v>21</v>
      </c>
      <c r="I416" t="s">
        <v>53</v>
      </c>
      <c r="J416">
        <v>28863.24</v>
      </c>
      <c r="K416" t="s">
        <v>32</v>
      </c>
      <c r="L416" s="2">
        <v>45165</v>
      </c>
      <c r="M416" t="s">
        <v>24</v>
      </c>
      <c r="N416">
        <v>1761796.83</v>
      </c>
      <c r="O416" t="s">
        <v>25</v>
      </c>
      <c r="P416">
        <f>YEAR('Main DataSet'!$L416)</f>
        <v>2023</v>
      </c>
      <c r="Q416">
        <f>MONTH('Main DataSet'!$L416)</f>
        <v>8</v>
      </c>
      <c r="R416" t="str">
        <f>TEXT('Main DataSet'!$L416,"MM-YYYY")</f>
        <v>08-2023</v>
      </c>
    </row>
    <row r="417" spans="1:18" ht="15.75" customHeight="1" x14ac:dyDescent="0.2">
      <c r="A417" t="s">
        <v>920</v>
      </c>
      <c r="B417">
        <v>904317</v>
      </c>
      <c r="C417" t="s">
        <v>921</v>
      </c>
      <c r="D417">
        <v>634833077589</v>
      </c>
      <c r="E417" t="s">
        <v>91</v>
      </c>
      <c r="F417" t="s">
        <v>130</v>
      </c>
      <c r="G417" t="s">
        <v>131</v>
      </c>
      <c r="H417" t="s">
        <v>67</v>
      </c>
      <c r="I417" t="s">
        <v>38</v>
      </c>
      <c r="J417">
        <v>75640.210000000006</v>
      </c>
      <c r="K417" t="s">
        <v>32</v>
      </c>
      <c r="L417" s="2">
        <v>45489</v>
      </c>
      <c r="M417" t="s">
        <v>24</v>
      </c>
      <c r="N417">
        <v>1696282.05</v>
      </c>
      <c r="O417" t="s">
        <v>25</v>
      </c>
      <c r="P417">
        <f>YEAR('Main DataSet'!$L417)</f>
        <v>2024</v>
      </c>
      <c r="Q417">
        <f>MONTH('Main DataSet'!$L417)</f>
        <v>7</v>
      </c>
      <c r="R417" t="str">
        <f>TEXT('Main DataSet'!$L417,"MM-YYYY")</f>
        <v>07-2024</v>
      </c>
    </row>
    <row r="418" spans="1:18" ht="15.75" customHeight="1" x14ac:dyDescent="0.2">
      <c r="A418" t="s">
        <v>922</v>
      </c>
      <c r="B418">
        <v>994371</v>
      </c>
      <c r="C418" t="s">
        <v>923</v>
      </c>
      <c r="D418">
        <v>681386364839</v>
      </c>
      <c r="E418" t="s">
        <v>28</v>
      </c>
      <c r="F418" t="s">
        <v>150</v>
      </c>
      <c r="G418" t="s">
        <v>151</v>
      </c>
      <c r="H418" t="s">
        <v>70</v>
      </c>
      <c r="I418" t="s">
        <v>53</v>
      </c>
      <c r="J418">
        <v>25989.27</v>
      </c>
      <c r="K418" t="s">
        <v>49</v>
      </c>
      <c r="L418" s="2">
        <v>45727</v>
      </c>
      <c r="M418" t="s">
        <v>24</v>
      </c>
      <c r="N418">
        <v>1869459.68</v>
      </c>
      <c r="O418" t="s">
        <v>25</v>
      </c>
      <c r="P418">
        <f>YEAR('Main DataSet'!$L418)</f>
        <v>2025</v>
      </c>
      <c r="Q418">
        <f>MONTH('Main DataSet'!$L418)</f>
        <v>3</v>
      </c>
      <c r="R418" t="str">
        <f>TEXT('Main DataSet'!$L418,"MM-YYYY")</f>
        <v>03-2025</v>
      </c>
    </row>
    <row r="419" spans="1:18" ht="15.75" customHeight="1" x14ac:dyDescent="0.2">
      <c r="A419" t="s">
        <v>924</v>
      </c>
      <c r="B419">
        <v>544541</v>
      </c>
      <c r="C419" t="s">
        <v>925</v>
      </c>
      <c r="D419">
        <v>339699282348</v>
      </c>
      <c r="E419" t="s">
        <v>91</v>
      </c>
      <c r="F419" t="s">
        <v>109</v>
      </c>
      <c r="G419" t="s">
        <v>110</v>
      </c>
      <c r="H419" t="s">
        <v>31</v>
      </c>
      <c r="I419" t="s">
        <v>22</v>
      </c>
      <c r="J419">
        <v>306077.19</v>
      </c>
      <c r="K419" t="s">
        <v>49</v>
      </c>
      <c r="L419" s="2">
        <v>45383</v>
      </c>
      <c r="M419" t="s">
        <v>24</v>
      </c>
      <c r="N419">
        <v>445276.17</v>
      </c>
      <c r="O419" t="s">
        <v>25</v>
      </c>
      <c r="P419">
        <f>YEAR('Main DataSet'!$L419)</f>
        <v>2024</v>
      </c>
      <c r="Q419">
        <f>MONTH('Main DataSet'!$L419)</f>
        <v>4</v>
      </c>
      <c r="R419" t="str">
        <f>TEXT('Main DataSet'!$L419,"MM-YYYY")</f>
        <v>04-2024</v>
      </c>
    </row>
    <row r="420" spans="1:18" ht="15.75" customHeight="1" x14ac:dyDescent="0.2">
      <c r="A420" t="s">
        <v>926</v>
      </c>
      <c r="B420">
        <v>814098</v>
      </c>
      <c r="C420" t="s">
        <v>927</v>
      </c>
      <c r="D420">
        <v>634498445905</v>
      </c>
      <c r="E420" t="s">
        <v>28</v>
      </c>
      <c r="F420" t="s">
        <v>216</v>
      </c>
      <c r="G420" t="s">
        <v>217</v>
      </c>
      <c r="H420" t="s">
        <v>21</v>
      </c>
      <c r="I420" t="s">
        <v>48</v>
      </c>
      <c r="J420">
        <v>278744.09999999998</v>
      </c>
      <c r="K420" t="s">
        <v>32</v>
      </c>
      <c r="L420" s="2">
        <v>45373</v>
      </c>
      <c r="M420" t="s">
        <v>24</v>
      </c>
      <c r="N420">
        <v>946157.45</v>
      </c>
      <c r="O420" t="s">
        <v>25</v>
      </c>
      <c r="P420">
        <f>YEAR('Main DataSet'!$L420)</f>
        <v>2024</v>
      </c>
      <c r="Q420">
        <f>MONTH('Main DataSet'!$L420)</f>
        <v>3</v>
      </c>
      <c r="R420" t="str">
        <f>TEXT('Main DataSet'!$L420,"MM-YYYY")</f>
        <v>03-2024</v>
      </c>
    </row>
    <row r="421" spans="1:18" ht="15.75" customHeight="1" x14ac:dyDescent="0.2">
      <c r="A421" t="s">
        <v>928</v>
      </c>
      <c r="B421">
        <v>362469</v>
      </c>
      <c r="C421" t="s">
        <v>929</v>
      </c>
      <c r="D421">
        <v>574613910418</v>
      </c>
      <c r="E421" t="s">
        <v>18</v>
      </c>
      <c r="F421" t="s">
        <v>46</v>
      </c>
      <c r="G421" t="s">
        <v>47</v>
      </c>
      <c r="H421" t="s">
        <v>67</v>
      </c>
      <c r="I421" t="s">
        <v>38</v>
      </c>
      <c r="J421">
        <v>19889.240000000002</v>
      </c>
      <c r="K421" t="s">
        <v>23</v>
      </c>
      <c r="L421" s="2">
        <v>45759</v>
      </c>
      <c r="M421" t="s">
        <v>24</v>
      </c>
      <c r="N421">
        <v>536984.80000000005</v>
      </c>
      <c r="O421" t="s">
        <v>25</v>
      </c>
      <c r="P421">
        <f>YEAR('Main DataSet'!$L421)</f>
        <v>2025</v>
      </c>
      <c r="Q421">
        <f>MONTH('Main DataSet'!$L421)</f>
        <v>4</v>
      </c>
      <c r="R421" t="str">
        <f>TEXT('Main DataSet'!$L421,"MM-YYYY")</f>
        <v>04-2025</v>
      </c>
    </row>
    <row r="422" spans="1:18" ht="15.75" customHeight="1" x14ac:dyDescent="0.2">
      <c r="A422" t="s">
        <v>930</v>
      </c>
      <c r="B422">
        <v>156651</v>
      </c>
      <c r="C422" t="s">
        <v>931</v>
      </c>
      <c r="D422">
        <v>712831351149</v>
      </c>
      <c r="E422" t="s">
        <v>64</v>
      </c>
      <c r="F422" t="s">
        <v>83</v>
      </c>
      <c r="G422" t="s">
        <v>84</v>
      </c>
      <c r="H422" t="s">
        <v>31</v>
      </c>
      <c r="I422" t="s">
        <v>48</v>
      </c>
      <c r="J422">
        <v>211790.53</v>
      </c>
      <c r="K422" t="s">
        <v>98</v>
      </c>
      <c r="L422" s="2">
        <v>45205</v>
      </c>
      <c r="M422" t="s">
        <v>24</v>
      </c>
      <c r="N422">
        <v>2062458.03</v>
      </c>
      <c r="O422" t="s">
        <v>25</v>
      </c>
      <c r="P422">
        <f>YEAR('Main DataSet'!$L422)</f>
        <v>2023</v>
      </c>
      <c r="Q422">
        <f>MONTH('Main DataSet'!$L422)</f>
        <v>10</v>
      </c>
      <c r="R422" t="str">
        <f>TEXT('Main DataSet'!$L422,"MM-YYYY")</f>
        <v>10-2023</v>
      </c>
    </row>
    <row r="423" spans="1:18" ht="15.75" customHeight="1" x14ac:dyDescent="0.2">
      <c r="A423" t="s">
        <v>932</v>
      </c>
      <c r="B423">
        <v>223991</v>
      </c>
      <c r="C423" t="s">
        <v>933</v>
      </c>
      <c r="D423">
        <v>925585552693</v>
      </c>
      <c r="E423" t="s">
        <v>18</v>
      </c>
      <c r="F423" t="s">
        <v>56</v>
      </c>
      <c r="G423" t="s">
        <v>57</v>
      </c>
      <c r="H423" t="s">
        <v>21</v>
      </c>
      <c r="I423" t="s">
        <v>22</v>
      </c>
      <c r="J423">
        <v>419123.96</v>
      </c>
      <c r="K423" t="s">
        <v>98</v>
      </c>
      <c r="L423" s="2">
        <v>45753</v>
      </c>
      <c r="M423" t="s">
        <v>24</v>
      </c>
      <c r="N423">
        <v>718722.06</v>
      </c>
      <c r="O423" t="s">
        <v>25</v>
      </c>
      <c r="P423">
        <f>YEAR('Main DataSet'!$L423)</f>
        <v>2025</v>
      </c>
      <c r="Q423">
        <f>MONTH('Main DataSet'!$L423)</f>
        <v>4</v>
      </c>
      <c r="R423" t="str">
        <f>TEXT('Main DataSet'!$L423,"MM-YYYY")</f>
        <v>04-2025</v>
      </c>
    </row>
    <row r="424" spans="1:18" ht="15.75" customHeight="1" x14ac:dyDescent="0.2">
      <c r="A424" t="s">
        <v>934</v>
      </c>
      <c r="B424">
        <v>381958</v>
      </c>
      <c r="C424" t="s">
        <v>935</v>
      </c>
      <c r="D424">
        <v>503095894291</v>
      </c>
      <c r="E424" t="s">
        <v>64</v>
      </c>
      <c r="F424" t="s">
        <v>83</v>
      </c>
      <c r="G424" t="s">
        <v>84</v>
      </c>
      <c r="H424" t="s">
        <v>31</v>
      </c>
      <c r="I424" t="s">
        <v>48</v>
      </c>
      <c r="J424">
        <v>221952.99</v>
      </c>
      <c r="K424" t="s">
        <v>49</v>
      </c>
      <c r="L424" s="2">
        <v>45489</v>
      </c>
      <c r="M424" t="s">
        <v>24</v>
      </c>
      <c r="N424">
        <v>830174.30999999994</v>
      </c>
      <c r="O424" t="s">
        <v>25</v>
      </c>
      <c r="P424">
        <f>YEAR('Main DataSet'!$L424)</f>
        <v>2024</v>
      </c>
      <c r="Q424">
        <f>MONTH('Main DataSet'!$L424)</f>
        <v>7</v>
      </c>
      <c r="R424" t="str">
        <f>TEXT('Main DataSet'!$L424,"MM-YYYY")</f>
        <v>07-2024</v>
      </c>
    </row>
    <row r="425" spans="1:18" ht="15.75" customHeight="1" x14ac:dyDescent="0.2">
      <c r="A425" t="s">
        <v>936</v>
      </c>
      <c r="B425">
        <v>888870</v>
      </c>
      <c r="C425" t="s">
        <v>937</v>
      </c>
      <c r="D425">
        <v>455614151118</v>
      </c>
      <c r="E425" t="s">
        <v>91</v>
      </c>
      <c r="F425" t="s">
        <v>109</v>
      </c>
      <c r="G425" t="s">
        <v>110</v>
      </c>
      <c r="H425" t="s">
        <v>70</v>
      </c>
      <c r="I425" t="s">
        <v>22</v>
      </c>
      <c r="J425">
        <v>174567.42</v>
      </c>
      <c r="K425" t="s">
        <v>49</v>
      </c>
      <c r="L425" s="2">
        <v>45528</v>
      </c>
      <c r="M425" t="s">
        <v>24</v>
      </c>
      <c r="N425">
        <v>1043689.06</v>
      </c>
      <c r="O425" t="s">
        <v>25</v>
      </c>
      <c r="P425">
        <f>YEAR('Main DataSet'!$L425)</f>
        <v>2024</v>
      </c>
      <c r="Q425">
        <f>MONTH('Main DataSet'!$L425)</f>
        <v>8</v>
      </c>
      <c r="R425" t="str">
        <f>TEXT('Main DataSet'!$L425,"MM-YYYY")</f>
        <v>08-2024</v>
      </c>
    </row>
    <row r="426" spans="1:18" ht="15.75" customHeight="1" x14ac:dyDescent="0.2">
      <c r="A426" t="s">
        <v>938</v>
      </c>
      <c r="B426">
        <v>194074</v>
      </c>
      <c r="C426" t="s">
        <v>939</v>
      </c>
      <c r="D426">
        <v>370100981708</v>
      </c>
      <c r="E426" t="s">
        <v>18</v>
      </c>
      <c r="F426" t="s">
        <v>56</v>
      </c>
      <c r="G426" t="s">
        <v>57</v>
      </c>
      <c r="H426" t="s">
        <v>31</v>
      </c>
      <c r="I426" t="s">
        <v>38</v>
      </c>
      <c r="J426">
        <v>34180.81</v>
      </c>
      <c r="K426" t="s">
        <v>98</v>
      </c>
      <c r="L426" s="2">
        <v>45229</v>
      </c>
      <c r="M426" t="s">
        <v>24</v>
      </c>
      <c r="N426">
        <v>821912.01</v>
      </c>
      <c r="O426" t="s">
        <v>25</v>
      </c>
      <c r="P426">
        <f>YEAR('Main DataSet'!$L426)</f>
        <v>2023</v>
      </c>
      <c r="Q426">
        <f>MONTH('Main DataSet'!$L426)</f>
        <v>10</v>
      </c>
      <c r="R426" t="str">
        <f>TEXT('Main DataSet'!$L426,"MM-YYYY")</f>
        <v>10-2023</v>
      </c>
    </row>
    <row r="427" spans="1:18" ht="15.75" customHeight="1" x14ac:dyDescent="0.2">
      <c r="A427" t="s">
        <v>940</v>
      </c>
      <c r="B427">
        <v>870636</v>
      </c>
      <c r="C427" t="s">
        <v>941</v>
      </c>
      <c r="D427">
        <v>265725559669</v>
      </c>
      <c r="E427" t="s">
        <v>35</v>
      </c>
      <c r="F427" t="s">
        <v>42</v>
      </c>
      <c r="G427" t="s">
        <v>43</v>
      </c>
      <c r="H427" t="s">
        <v>70</v>
      </c>
      <c r="I427" t="s">
        <v>22</v>
      </c>
      <c r="J427">
        <v>204879.07</v>
      </c>
      <c r="K427" t="s">
        <v>98</v>
      </c>
      <c r="L427" s="2">
        <v>45340</v>
      </c>
      <c r="M427" t="s">
        <v>24</v>
      </c>
      <c r="N427">
        <v>1860252.84</v>
      </c>
      <c r="O427" t="s">
        <v>25</v>
      </c>
      <c r="P427">
        <f>YEAR('Main DataSet'!$L427)</f>
        <v>2024</v>
      </c>
      <c r="Q427">
        <f>MONTH('Main DataSet'!$L427)</f>
        <v>2</v>
      </c>
      <c r="R427" t="str">
        <f>TEXT('Main DataSet'!$L427,"MM-YYYY")</f>
        <v>02-2024</v>
      </c>
    </row>
    <row r="428" spans="1:18" ht="15.75" customHeight="1" x14ac:dyDescent="0.2">
      <c r="A428" t="s">
        <v>942</v>
      </c>
      <c r="B428">
        <v>417871</v>
      </c>
      <c r="C428" t="s">
        <v>943</v>
      </c>
      <c r="D428">
        <v>340570703401</v>
      </c>
      <c r="E428" t="s">
        <v>18</v>
      </c>
      <c r="F428" t="s">
        <v>156</v>
      </c>
      <c r="G428" t="s">
        <v>157</v>
      </c>
      <c r="H428" t="s">
        <v>67</v>
      </c>
      <c r="I428" t="s">
        <v>53</v>
      </c>
      <c r="J428">
        <v>126048.15</v>
      </c>
      <c r="K428" t="s">
        <v>32</v>
      </c>
      <c r="L428" s="2">
        <v>45278</v>
      </c>
      <c r="M428" t="s">
        <v>24</v>
      </c>
      <c r="N428">
        <v>305126.23</v>
      </c>
      <c r="O428" t="s">
        <v>25</v>
      </c>
      <c r="P428">
        <f>YEAR('Main DataSet'!$L428)</f>
        <v>2023</v>
      </c>
      <c r="Q428">
        <f>MONTH('Main DataSet'!$L428)</f>
        <v>12</v>
      </c>
      <c r="R428" t="str">
        <f>TEXT('Main DataSet'!$L428,"MM-YYYY")</f>
        <v>12-2023</v>
      </c>
    </row>
    <row r="429" spans="1:18" ht="15.75" customHeight="1" x14ac:dyDescent="0.2">
      <c r="A429" t="s">
        <v>944</v>
      </c>
      <c r="B429">
        <v>514407</v>
      </c>
      <c r="C429" t="s">
        <v>945</v>
      </c>
      <c r="D429">
        <v>675036663044</v>
      </c>
      <c r="E429" t="s">
        <v>91</v>
      </c>
      <c r="F429" t="s">
        <v>130</v>
      </c>
      <c r="G429" t="s">
        <v>131</v>
      </c>
      <c r="H429" t="s">
        <v>70</v>
      </c>
      <c r="I429" t="s">
        <v>48</v>
      </c>
      <c r="J429">
        <v>94591.93</v>
      </c>
      <c r="K429" t="s">
        <v>39</v>
      </c>
      <c r="L429" s="2">
        <v>45496</v>
      </c>
      <c r="M429" t="s">
        <v>24</v>
      </c>
      <c r="N429">
        <v>1580999.81</v>
      </c>
      <c r="O429" t="s">
        <v>25</v>
      </c>
      <c r="P429">
        <f>YEAR('Main DataSet'!$L429)</f>
        <v>2024</v>
      </c>
      <c r="Q429">
        <f>MONTH('Main DataSet'!$L429)</f>
        <v>7</v>
      </c>
      <c r="R429" t="str">
        <f>TEXT('Main DataSet'!$L429,"MM-YYYY")</f>
        <v>07-2024</v>
      </c>
    </row>
    <row r="430" spans="1:18" ht="15.75" customHeight="1" x14ac:dyDescent="0.2">
      <c r="A430" t="s">
        <v>946</v>
      </c>
      <c r="B430">
        <v>356658</v>
      </c>
      <c r="C430" t="s">
        <v>947</v>
      </c>
      <c r="D430">
        <v>605418878157</v>
      </c>
      <c r="E430" t="s">
        <v>91</v>
      </c>
      <c r="F430" t="s">
        <v>105</v>
      </c>
      <c r="G430" t="s">
        <v>106</v>
      </c>
      <c r="H430" t="s">
        <v>70</v>
      </c>
      <c r="I430" t="s">
        <v>22</v>
      </c>
      <c r="J430">
        <v>40155.279999999999</v>
      </c>
      <c r="K430" t="s">
        <v>32</v>
      </c>
      <c r="L430" s="2">
        <v>45204</v>
      </c>
      <c r="M430" t="s">
        <v>24</v>
      </c>
      <c r="N430">
        <v>527727.55000000005</v>
      </c>
      <c r="O430" t="s">
        <v>25</v>
      </c>
      <c r="P430">
        <f>YEAR('Main DataSet'!$L430)</f>
        <v>2023</v>
      </c>
      <c r="Q430">
        <f>MONTH('Main DataSet'!$L430)</f>
        <v>10</v>
      </c>
      <c r="R430" t="str">
        <f>TEXT('Main DataSet'!$L430,"MM-YYYY")</f>
        <v>10-2023</v>
      </c>
    </row>
    <row r="431" spans="1:18" ht="15.75" customHeight="1" x14ac:dyDescent="0.2">
      <c r="A431" t="s">
        <v>948</v>
      </c>
      <c r="B431">
        <v>256689</v>
      </c>
      <c r="C431" t="s">
        <v>949</v>
      </c>
      <c r="D431">
        <v>597626604290</v>
      </c>
      <c r="E431" t="s">
        <v>18</v>
      </c>
      <c r="F431" t="s">
        <v>87</v>
      </c>
      <c r="G431" t="s">
        <v>88</v>
      </c>
      <c r="H431" t="s">
        <v>67</v>
      </c>
      <c r="I431" t="s">
        <v>22</v>
      </c>
      <c r="J431">
        <v>269846.56</v>
      </c>
      <c r="K431" t="s">
        <v>32</v>
      </c>
      <c r="L431" s="2">
        <v>45168</v>
      </c>
      <c r="M431" t="s">
        <v>24</v>
      </c>
      <c r="N431">
        <v>1057833.83</v>
      </c>
      <c r="O431" t="s">
        <v>25</v>
      </c>
      <c r="P431">
        <f>YEAR('Main DataSet'!$L431)</f>
        <v>2023</v>
      </c>
      <c r="Q431">
        <f>MONTH('Main DataSet'!$L431)</f>
        <v>8</v>
      </c>
      <c r="R431" t="str">
        <f>TEXT('Main DataSet'!$L431,"MM-YYYY")</f>
        <v>08-2023</v>
      </c>
    </row>
    <row r="432" spans="1:18" ht="15.75" customHeight="1" x14ac:dyDescent="0.2">
      <c r="A432" t="s">
        <v>950</v>
      </c>
      <c r="B432">
        <v>172968</v>
      </c>
      <c r="C432" t="s">
        <v>951</v>
      </c>
      <c r="D432">
        <v>223152974785</v>
      </c>
      <c r="E432" t="s">
        <v>91</v>
      </c>
      <c r="F432" t="s">
        <v>92</v>
      </c>
      <c r="G432" t="s">
        <v>93</v>
      </c>
      <c r="H432" t="s">
        <v>31</v>
      </c>
      <c r="I432" t="s">
        <v>48</v>
      </c>
      <c r="J432">
        <v>6453.41</v>
      </c>
      <c r="K432" t="s">
        <v>98</v>
      </c>
      <c r="L432" s="2">
        <v>45549</v>
      </c>
      <c r="M432" t="s">
        <v>24</v>
      </c>
      <c r="N432">
        <v>1260667.3500000001</v>
      </c>
      <c r="O432" t="s">
        <v>25</v>
      </c>
      <c r="P432">
        <f>YEAR('Main DataSet'!$L432)</f>
        <v>2024</v>
      </c>
      <c r="Q432">
        <f>MONTH('Main DataSet'!$L432)</f>
        <v>9</v>
      </c>
      <c r="R432" t="str">
        <f>TEXT('Main DataSet'!$L432,"MM-YYYY")</f>
        <v>09-2024</v>
      </c>
    </row>
    <row r="433" spans="1:18" ht="15.75" customHeight="1" x14ac:dyDescent="0.2">
      <c r="A433" t="s">
        <v>952</v>
      </c>
      <c r="B433">
        <v>473572</v>
      </c>
      <c r="C433" t="s">
        <v>953</v>
      </c>
      <c r="D433">
        <v>862059035512</v>
      </c>
      <c r="E433" t="s">
        <v>35</v>
      </c>
      <c r="F433" t="s">
        <v>60</v>
      </c>
      <c r="G433" t="s">
        <v>61</v>
      </c>
      <c r="H433" t="s">
        <v>67</v>
      </c>
      <c r="I433" t="s">
        <v>22</v>
      </c>
      <c r="J433">
        <v>378135.91</v>
      </c>
      <c r="K433" t="s">
        <v>39</v>
      </c>
      <c r="L433" s="2">
        <v>45630</v>
      </c>
      <c r="M433" t="s">
        <v>24</v>
      </c>
      <c r="N433">
        <v>460516.67</v>
      </c>
      <c r="O433" t="s">
        <v>25</v>
      </c>
      <c r="P433">
        <f>YEAR('Main DataSet'!$L433)</f>
        <v>2024</v>
      </c>
      <c r="Q433">
        <f>MONTH('Main DataSet'!$L433)</f>
        <v>12</v>
      </c>
      <c r="R433" t="str">
        <f>TEXT('Main DataSet'!$L433,"MM-YYYY")</f>
        <v>12-2024</v>
      </c>
    </row>
    <row r="434" spans="1:18" ht="15.75" customHeight="1" x14ac:dyDescent="0.2">
      <c r="A434" t="s">
        <v>954</v>
      </c>
      <c r="B434">
        <v>727196</v>
      </c>
      <c r="C434" t="s">
        <v>955</v>
      </c>
      <c r="D434">
        <v>213803806556</v>
      </c>
      <c r="E434" t="s">
        <v>18</v>
      </c>
      <c r="F434" t="s">
        <v>156</v>
      </c>
      <c r="G434" t="s">
        <v>157</v>
      </c>
      <c r="H434" t="s">
        <v>21</v>
      </c>
      <c r="I434" t="s">
        <v>48</v>
      </c>
      <c r="J434">
        <v>162015.07</v>
      </c>
      <c r="K434" t="s">
        <v>39</v>
      </c>
      <c r="L434" s="2">
        <v>45289</v>
      </c>
      <c r="M434" t="s">
        <v>113</v>
      </c>
      <c r="N434">
        <v>2062704.01</v>
      </c>
      <c r="O434" t="s">
        <v>25</v>
      </c>
      <c r="P434">
        <f>YEAR('Main DataSet'!$L434)</f>
        <v>2023</v>
      </c>
      <c r="Q434">
        <f>MONTH('Main DataSet'!$L434)</f>
        <v>12</v>
      </c>
      <c r="R434" t="str">
        <f>TEXT('Main DataSet'!$L434,"MM-YYYY")</f>
        <v>12-2023</v>
      </c>
    </row>
    <row r="435" spans="1:18" ht="15.75" customHeight="1" x14ac:dyDescent="0.2">
      <c r="A435" t="s">
        <v>956</v>
      </c>
      <c r="B435">
        <v>310437</v>
      </c>
      <c r="C435" t="s">
        <v>957</v>
      </c>
      <c r="D435">
        <v>619311161355</v>
      </c>
      <c r="E435" t="s">
        <v>28</v>
      </c>
      <c r="F435" t="s">
        <v>192</v>
      </c>
      <c r="G435" t="s">
        <v>193</v>
      </c>
      <c r="H435" t="s">
        <v>21</v>
      </c>
      <c r="I435" t="s">
        <v>48</v>
      </c>
      <c r="J435">
        <v>86822.48</v>
      </c>
      <c r="K435" t="s">
        <v>32</v>
      </c>
      <c r="L435" s="2">
        <v>45711</v>
      </c>
      <c r="M435" t="s">
        <v>24</v>
      </c>
      <c r="N435">
        <v>1212113.4099999999</v>
      </c>
      <c r="O435" t="s">
        <v>25</v>
      </c>
      <c r="P435">
        <f>YEAR('Main DataSet'!$L435)</f>
        <v>2025</v>
      </c>
      <c r="Q435">
        <f>MONTH('Main DataSet'!$L435)</f>
        <v>2</v>
      </c>
      <c r="R435" t="str">
        <f>TEXT('Main DataSet'!$L435,"MM-YYYY")</f>
        <v>02-2025</v>
      </c>
    </row>
    <row r="436" spans="1:18" ht="15.75" customHeight="1" x14ac:dyDescent="0.2">
      <c r="A436" t="s">
        <v>958</v>
      </c>
      <c r="B436">
        <v>446826</v>
      </c>
      <c r="C436" t="s">
        <v>959</v>
      </c>
      <c r="D436">
        <v>369238077065</v>
      </c>
      <c r="E436" t="s">
        <v>18</v>
      </c>
      <c r="F436" t="s">
        <v>156</v>
      </c>
      <c r="G436" t="s">
        <v>157</v>
      </c>
      <c r="H436" t="s">
        <v>31</v>
      </c>
      <c r="I436" t="s">
        <v>38</v>
      </c>
      <c r="J436">
        <v>27058.35</v>
      </c>
      <c r="K436" t="s">
        <v>98</v>
      </c>
      <c r="L436" s="2">
        <v>45345</v>
      </c>
      <c r="M436" t="s">
        <v>24</v>
      </c>
      <c r="N436">
        <v>233863.72</v>
      </c>
      <c r="O436" t="s">
        <v>25</v>
      </c>
      <c r="P436">
        <f>YEAR('Main DataSet'!$L436)</f>
        <v>2024</v>
      </c>
      <c r="Q436">
        <f>MONTH('Main DataSet'!$L436)</f>
        <v>2</v>
      </c>
      <c r="R436" t="str">
        <f>TEXT('Main DataSet'!$L436,"MM-YYYY")</f>
        <v>02-2024</v>
      </c>
    </row>
    <row r="437" spans="1:18" ht="15.75" customHeight="1" x14ac:dyDescent="0.2">
      <c r="A437" t="s">
        <v>960</v>
      </c>
      <c r="B437">
        <v>330179</v>
      </c>
      <c r="C437" t="s">
        <v>961</v>
      </c>
      <c r="D437">
        <v>507751770849</v>
      </c>
      <c r="E437" t="s">
        <v>35</v>
      </c>
      <c r="F437" t="s">
        <v>60</v>
      </c>
      <c r="G437" t="s">
        <v>61</v>
      </c>
      <c r="H437" t="s">
        <v>70</v>
      </c>
      <c r="I437" t="s">
        <v>38</v>
      </c>
      <c r="J437">
        <v>86561.53</v>
      </c>
      <c r="K437" t="s">
        <v>32</v>
      </c>
      <c r="L437" s="2">
        <v>45279</v>
      </c>
      <c r="M437" t="s">
        <v>24</v>
      </c>
      <c r="N437">
        <v>1697759.69</v>
      </c>
      <c r="O437" t="s">
        <v>25</v>
      </c>
      <c r="P437">
        <f>YEAR('Main DataSet'!$L437)</f>
        <v>2023</v>
      </c>
      <c r="Q437">
        <f>MONTH('Main DataSet'!$L437)</f>
        <v>12</v>
      </c>
      <c r="R437" t="str">
        <f>TEXT('Main DataSet'!$L437,"MM-YYYY")</f>
        <v>12-2023</v>
      </c>
    </row>
    <row r="438" spans="1:18" ht="15.75" customHeight="1" x14ac:dyDescent="0.2">
      <c r="A438" t="s">
        <v>962</v>
      </c>
      <c r="B438">
        <v>129665</v>
      </c>
      <c r="C438" t="s">
        <v>963</v>
      </c>
      <c r="D438">
        <v>685732683411</v>
      </c>
      <c r="E438" t="s">
        <v>91</v>
      </c>
      <c r="F438" t="s">
        <v>109</v>
      </c>
      <c r="G438" t="s">
        <v>110</v>
      </c>
      <c r="H438" t="s">
        <v>70</v>
      </c>
      <c r="I438" t="s">
        <v>38</v>
      </c>
      <c r="J438">
        <v>110972.64</v>
      </c>
      <c r="K438" t="s">
        <v>49</v>
      </c>
      <c r="L438" s="2">
        <v>45259</v>
      </c>
      <c r="M438" t="s">
        <v>24</v>
      </c>
      <c r="N438">
        <v>1801082.85</v>
      </c>
      <c r="O438" t="s">
        <v>25</v>
      </c>
      <c r="P438">
        <f>YEAR('Main DataSet'!$L438)</f>
        <v>2023</v>
      </c>
      <c r="Q438">
        <f>MONTH('Main DataSet'!$L438)</f>
        <v>11</v>
      </c>
      <c r="R438" t="str">
        <f>TEXT('Main DataSet'!$L438,"MM-YYYY")</f>
        <v>11-2023</v>
      </c>
    </row>
    <row r="439" spans="1:18" ht="15.75" customHeight="1" x14ac:dyDescent="0.2">
      <c r="A439" t="s">
        <v>964</v>
      </c>
      <c r="B439">
        <v>366999</v>
      </c>
      <c r="C439" t="s">
        <v>965</v>
      </c>
      <c r="D439">
        <v>105097624705</v>
      </c>
      <c r="E439" t="s">
        <v>18</v>
      </c>
      <c r="F439" t="s">
        <v>156</v>
      </c>
      <c r="G439" t="s">
        <v>157</v>
      </c>
      <c r="H439" t="s">
        <v>31</v>
      </c>
      <c r="I439" t="s">
        <v>48</v>
      </c>
      <c r="J439">
        <v>6574.26</v>
      </c>
      <c r="K439" t="s">
        <v>98</v>
      </c>
      <c r="L439" s="2">
        <v>45559</v>
      </c>
      <c r="M439" t="s">
        <v>24</v>
      </c>
      <c r="N439">
        <v>592520.64</v>
      </c>
      <c r="O439" t="s">
        <v>25</v>
      </c>
      <c r="P439">
        <f>YEAR('Main DataSet'!$L439)</f>
        <v>2024</v>
      </c>
      <c r="Q439">
        <f>MONTH('Main DataSet'!$L439)</f>
        <v>9</v>
      </c>
      <c r="R439" t="str">
        <f>TEXT('Main DataSet'!$L439,"MM-YYYY")</f>
        <v>09-2024</v>
      </c>
    </row>
    <row r="440" spans="1:18" ht="15.75" customHeight="1" x14ac:dyDescent="0.2">
      <c r="A440" t="s">
        <v>966</v>
      </c>
      <c r="B440">
        <v>552388</v>
      </c>
      <c r="C440" t="s">
        <v>967</v>
      </c>
      <c r="D440">
        <v>453842146842</v>
      </c>
      <c r="E440" t="s">
        <v>18</v>
      </c>
      <c r="F440" t="s">
        <v>19</v>
      </c>
      <c r="G440" t="s">
        <v>20</v>
      </c>
      <c r="H440" t="s">
        <v>70</v>
      </c>
      <c r="I440" t="s">
        <v>53</v>
      </c>
      <c r="J440">
        <v>195381.64</v>
      </c>
      <c r="K440" t="s">
        <v>49</v>
      </c>
      <c r="L440" s="2">
        <v>45478</v>
      </c>
      <c r="M440" t="s">
        <v>24</v>
      </c>
      <c r="N440">
        <v>1149629.3799999999</v>
      </c>
      <c r="O440" t="s">
        <v>25</v>
      </c>
      <c r="P440">
        <f>YEAR('Main DataSet'!$L440)</f>
        <v>2024</v>
      </c>
      <c r="Q440">
        <f>MONTH('Main DataSet'!$L440)</f>
        <v>7</v>
      </c>
      <c r="R440" t="str">
        <f>TEXT('Main DataSet'!$L440,"MM-YYYY")</f>
        <v>07-2024</v>
      </c>
    </row>
    <row r="441" spans="1:18" ht="15.75" customHeight="1" x14ac:dyDescent="0.2">
      <c r="A441" t="s">
        <v>968</v>
      </c>
      <c r="B441">
        <v>523936</v>
      </c>
      <c r="C441" t="s">
        <v>969</v>
      </c>
      <c r="D441">
        <v>145261144154</v>
      </c>
      <c r="E441" t="s">
        <v>91</v>
      </c>
      <c r="F441" t="s">
        <v>92</v>
      </c>
      <c r="G441" t="s">
        <v>93</v>
      </c>
      <c r="H441" t="s">
        <v>70</v>
      </c>
      <c r="I441" t="s">
        <v>48</v>
      </c>
      <c r="J441">
        <v>34140.730000000003</v>
      </c>
      <c r="K441" t="s">
        <v>49</v>
      </c>
      <c r="L441" s="2">
        <v>45288</v>
      </c>
      <c r="M441" t="s">
        <v>168</v>
      </c>
      <c r="N441">
        <v>1510625.24</v>
      </c>
      <c r="O441" t="s">
        <v>25</v>
      </c>
      <c r="P441">
        <f>YEAR('Main DataSet'!$L441)</f>
        <v>2023</v>
      </c>
      <c r="Q441">
        <f>MONTH('Main DataSet'!$L441)</f>
        <v>12</v>
      </c>
      <c r="R441" t="str">
        <f>TEXT('Main DataSet'!$L441,"MM-YYYY")</f>
        <v>12-2023</v>
      </c>
    </row>
    <row r="442" spans="1:18" ht="15.75" customHeight="1" x14ac:dyDescent="0.2">
      <c r="A442" t="s">
        <v>970</v>
      </c>
      <c r="B442">
        <v>454612</v>
      </c>
      <c r="C442" t="s">
        <v>971</v>
      </c>
      <c r="D442">
        <v>305188756174</v>
      </c>
      <c r="E442" t="s">
        <v>91</v>
      </c>
      <c r="F442" t="s">
        <v>162</v>
      </c>
      <c r="G442" t="s">
        <v>163</v>
      </c>
      <c r="H442" t="s">
        <v>21</v>
      </c>
      <c r="I442" t="s">
        <v>53</v>
      </c>
      <c r="J442">
        <v>413815.24</v>
      </c>
      <c r="K442" t="s">
        <v>98</v>
      </c>
      <c r="L442" s="2">
        <v>45403</v>
      </c>
      <c r="M442" t="s">
        <v>168</v>
      </c>
      <c r="N442">
        <v>1653549.79</v>
      </c>
      <c r="O442" t="s">
        <v>25</v>
      </c>
      <c r="P442">
        <f>YEAR('Main DataSet'!$L442)</f>
        <v>2024</v>
      </c>
      <c r="Q442">
        <f>MONTH('Main DataSet'!$L442)</f>
        <v>4</v>
      </c>
      <c r="R442" t="str">
        <f>TEXT('Main DataSet'!$L442,"MM-YYYY")</f>
        <v>04-2024</v>
      </c>
    </row>
    <row r="443" spans="1:18" ht="15.75" customHeight="1" x14ac:dyDescent="0.2">
      <c r="A443" t="s">
        <v>972</v>
      </c>
      <c r="B443">
        <v>222331</v>
      </c>
      <c r="C443" t="s">
        <v>973</v>
      </c>
      <c r="D443">
        <v>732483075544</v>
      </c>
      <c r="E443" t="s">
        <v>28</v>
      </c>
      <c r="F443" t="s">
        <v>79</v>
      </c>
      <c r="G443" t="s">
        <v>80</v>
      </c>
      <c r="H443" t="s">
        <v>67</v>
      </c>
      <c r="I443" t="s">
        <v>22</v>
      </c>
      <c r="J443">
        <v>498951.58</v>
      </c>
      <c r="K443" t="s">
        <v>39</v>
      </c>
      <c r="L443" s="2">
        <v>45304</v>
      </c>
      <c r="M443" t="s">
        <v>24</v>
      </c>
      <c r="N443">
        <v>1249983.6100000001</v>
      </c>
      <c r="O443" t="s">
        <v>25</v>
      </c>
      <c r="P443">
        <f>YEAR('Main DataSet'!$L443)</f>
        <v>2024</v>
      </c>
      <c r="Q443">
        <f>MONTH('Main DataSet'!$L443)</f>
        <v>1</v>
      </c>
      <c r="R443" t="str">
        <f>TEXT('Main DataSet'!$L443,"MM-YYYY")</f>
        <v>01-2024</v>
      </c>
    </row>
    <row r="444" spans="1:18" ht="15.75" customHeight="1" x14ac:dyDescent="0.2">
      <c r="A444" t="s">
        <v>974</v>
      </c>
      <c r="B444">
        <v>457761</v>
      </c>
      <c r="C444" t="s">
        <v>975</v>
      </c>
      <c r="D444">
        <v>630313159087</v>
      </c>
      <c r="E444" t="s">
        <v>35</v>
      </c>
      <c r="F444" t="s">
        <v>73</v>
      </c>
      <c r="G444" t="s">
        <v>74</v>
      </c>
      <c r="H444" t="s">
        <v>70</v>
      </c>
      <c r="I444" t="s">
        <v>22</v>
      </c>
      <c r="J444">
        <v>500321.81</v>
      </c>
      <c r="K444" t="s">
        <v>49</v>
      </c>
      <c r="L444" s="2">
        <v>45612</v>
      </c>
      <c r="M444" t="s">
        <v>24</v>
      </c>
      <c r="N444">
        <v>1182670.67</v>
      </c>
      <c r="O444" t="s">
        <v>25</v>
      </c>
      <c r="P444">
        <f>YEAR('Main DataSet'!$L444)</f>
        <v>2024</v>
      </c>
      <c r="Q444">
        <f>MONTH('Main DataSet'!$L444)</f>
        <v>11</v>
      </c>
      <c r="R444" t="str">
        <f>TEXT('Main DataSet'!$L444,"MM-YYYY")</f>
        <v>11-2024</v>
      </c>
    </row>
    <row r="445" spans="1:18" ht="15.75" customHeight="1" x14ac:dyDescent="0.2">
      <c r="A445" t="s">
        <v>976</v>
      </c>
      <c r="B445">
        <v>784041</v>
      </c>
      <c r="C445" t="s">
        <v>977</v>
      </c>
      <c r="D445">
        <v>233652635234</v>
      </c>
      <c r="E445" t="s">
        <v>64</v>
      </c>
      <c r="F445" t="s">
        <v>166</v>
      </c>
      <c r="G445" t="s">
        <v>167</v>
      </c>
      <c r="H445" t="s">
        <v>21</v>
      </c>
      <c r="I445" t="s">
        <v>48</v>
      </c>
      <c r="J445">
        <v>233950.21</v>
      </c>
      <c r="K445" t="s">
        <v>39</v>
      </c>
      <c r="L445" s="2">
        <v>45764</v>
      </c>
      <c r="M445" t="s">
        <v>24</v>
      </c>
      <c r="N445">
        <v>1262558.1000000001</v>
      </c>
      <c r="O445" t="s">
        <v>25</v>
      </c>
      <c r="P445">
        <f>YEAR('Main DataSet'!$L445)</f>
        <v>2025</v>
      </c>
      <c r="Q445">
        <f>MONTH('Main DataSet'!$L445)</f>
        <v>4</v>
      </c>
      <c r="R445" t="str">
        <f>TEXT('Main DataSet'!$L445,"MM-YYYY")</f>
        <v>04-2025</v>
      </c>
    </row>
    <row r="446" spans="1:18" ht="15.75" customHeight="1" x14ac:dyDescent="0.2">
      <c r="A446" t="s">
        <v>978</v>
      </c>
      <c r="B446">
        <v>130029</v>
      </c>
      <c r="C446" t="s">
        <v>979</v>
      </c>
      <c r="D446">
        <v>649264358079</v>
      </c>
      <c r="E446" t="s">
        <v>35</v>
      </c>
      <c r="F446" t="s">
        <v>136</v>
      </c>
      <c r="G446" t="s">
        <v>137</v>
      </c>
      <c r="H446" t="s">
        <v>21</v>
      </c>
      <c r="I446" t="s">
        <v>48</v>
      </c>
      <c r="J446">
        <v>290578.13</v>
      </c>
      <c r="K446" t="s">
        <v>23</v>
      </c>
      <c r="L446" s="2">
        <v>45400</v>
      </c>
      <c r="M446" t="s">
        <v>24</v>
      </c>
      <c r="N446">
        <v>678673.67999999993</v>
      </c>
      <c r="O446" t="s">
        <v>25</v>
      </c>
      <c r="P446">
        <f>YEAR('Main DataSet'!$L446)</f>
        <v>2024</v>
      </c>
      <c r="Q446">
        <f>MONTH('Main DataSet'!$L446)</f>
        <v>4</v>
      </c>
      <c r="R446" t="str">
        <f>TEXT('Main DataSet'!$L446,"MM-YYYY")</f>
        <v>04-2024</v>
      </c>
    </row>
    <row r="447" spans="1:18" ht="15.75" customHeight="1" x14ac:dyDescent="0.2">
      <c r="A447" t="s">
        <v>980</v>
      </c>
      <c r="B447">
        <v>806467</v>
      </c>
      <c r="C447" t="s">
        <v>981</v>
      </c>
      <c r="D447">
        <v>781500218179</v>
      </c>
      <c r="E447" t="s">
        <v>64</v>
      </c>
      <c r="F447" t="s">
        <v>65</v>
      </c>
      <c r="G447" t="s">
        <v>66</v>
      </c>
      <c r="H447" t="s">
        <v>67</v>
      </c>
      <c r="I447" t="s">
        <v>48</v>
      </c>
      <c r="J447">
        <v>106758.52</v>
      </c>
      <c r="K447" t="s">
        <v>39</v>
      </c>
      <c r="L447" s="2">
        <v>45207</v>
      </c>
      <c r="M447" t="s">
        <v>168</v>
      </c>
      <c r="N447">
        <v>296937.62</v>
      </c>
      <c r="O447" t="s">
        <v>25</v>
      </c>
      <c r="P447">
        <f>YEAR('Main DataSet'!$L447)</f>
        <v>2023</v>
      </c>
      <c r="Q447">
        <f>MONTH('Main DataSet'!$L447)</f>
        <v>10</v>
      </c>
      <c r="R447" t="str">
        <f>TEXT('Main DataSet'!$L447,"MM-YYYY")</f>
        <v>10-2023</v>
      </c>
    </row>
    <row r="448" spans="1:18" ht="15.75" customHeight="1" x14ac:dyDescent="0.2">
      <c r="A448" t="s">
        <v>982</v>
      </c>
      <c r="B448">
        <v>908804</v>
      </c>
      <c r="C448" t="s">
        <v>983</v>
      </c>
      <c r="D448">
        <v>475332694595</v>
      </c>
      <c r="E448" t="s">
        <v>91</v>
      </c>
      <c r="F448" t="s">
        <v>130</v>
      </c>
      <c r="G448" t="s">
        <v>131</v>
      </c>
      <c r="H448" t="s">
        <v>31</v>
      </c>
      <c r="I448" t="s">
        <v>53</v>
      </c>
      <c r="J448">
        <v>55162.87</v>
      </c>
      <c r="K448" t="s">
        <v>98</v>
      </c>
      <c r="L448" s="2">
        <v>45258</v>
      </c>
      <c r="M448" t="s">
        <v>24</v>
      </c>
      <c r="N448">
        <v>951673.05999999994</v>
      </c>
      <c r="O448" t="s">
        <v>25</v>
      </c>
      <c r="P448">
        <f>YEAR('Main DataSet'!$L448)</f>
        <v>2023</v>
      </c>
      <c r="Q448">
        <f>MONTH('Main DataSet'!$L448)</f>
        <v>11</v>
      </c>
      <c r="R448" t="str">
        <f>TEXT('Main DataSet'!$L448,"MM-YYYY")</f>
        <v>11-2023</v>
      </c>
    </row>
    <row r="449" spans="1:18" ht="15.75" customHeight="1" x14ac:dyDescent="0.2">
      <c r="A449" t="s">
        <v>984</v>
      </c>
      <c r="B449">
        <v>578684</v>
      </c>
      <c r="C449" t="s">
        <v>985</v>
      </c>
      <c r="D449">
        <v>726753454826</v>
      </c>
      <c r="E449" t="s">
        <v>28</v>
      </c>
      <c r="F449" t="s">
        <v>192</v>
      </c>
      <c r="G449" t="s">
        <v>193</v>
      </c>
      <c r="H449" t="s">
        <v>70</v>
      </c>
      <c r="I449" t="s">
        <v>38</v>
      </c>
      <c r="J449">
        <v>145964.88</v>
      </c>
      <c r="K449" t="s">
        <v>32</v>
      </c>
      <c r="L449" s="2">
        <v>45534</v>
      </c>
      <c r="M449" t="s">
        <v>24</v>
      </c>
      <c r="N449">
        <v>176477.34</v>
      </c>
      <c r="O449" t="s">
        <v>25</v>
      </c>
      <c r="P449">
        <f>YEAR('Main DataSet'!$L449)</f>
        <v>2024</v>
      </c>
      <c r="Q449">
        <f>MONTH('Main DataSet'!$L449)</f>
        <v>8</v>
      </c>
      <c r="R449" t="str">
        <f>TEXT('Main DataSet'!$L449,"MM-YYYY")</f>
        <v>08-2024</v>
      </c>
    </row>
    <row r="450" spans="1:18" ht="15.75" customHeight="1" x14ac:dyDescent="0.2">
      <c r="A450" t="s">
        <v>986</v>
      </c>
      <c r="B450">
        <v>855681</v>
      </c>
      <c r="C450" t="s">
        <v>987</v>
      </c>
      <c r="D450">
        <v>190826722420</v>
      </c>
      <c r="E450" t="s">
        <v>35</v>
      </c>
      <c r="F450" t="s">
        <v>42</v>
      </c>
      <c r="G450" t="s">
        <v>43</v>
      </c>
      <c r="H450" t="s">
        <v>67</v>
      </c>
      <c r="I450" t="s">
        <v>38</v>
      </c>
      <c r="J450">
        <v>40273.629999999997</v>
      </c>
      <c r="K450" t="s">
        <v>98</v>
      </c>
      <c r="L450" s="2">
        <v>45250</v>
      </c>
      <c r="M450" t="s">
        <v>24</v>
      </c>
      <c r="N450">
        <v>1640296.82</v>
      </c>
      <c r="O450" t="s">
        <v>25</v>
      </c>
      <c r="P450">
        <f>YEAR('Main DataSet'!$L450)</f>
        <v>2023</v>
      </c>
      <c r="Q450">
        <f>MONTH('Main DataSet'!$L450)</f>
        <v>11</v>
      </c>
      <c r="R450" t="str">
        <f>TEXT('Main DataSet'!$L450,"MM-YYYY")</f>
        <v>11-2023</v>
      </c>
    </row>
    <row r="451" spans="1:18" ht="15.75" customHeight="1" x14ac:dyDescent="0.2">
      <c r="A451" t="s">
        <v>988</v>
      </c>
      <c r="B451">
        <v>453699</v>
      </c>
      <c r="C451" t="s">
        <v>989</v>
      </c>
      <c r="D451">
        <v>544604573240</v>
      </c>
      <c r="E451" t="s">
        <v>91</v>
      </c>
      <c r="F451" t="s">
        <v>130</v>
      </c>
      <c r="G451" t="s">
        <v>131</v>
      </c>
      <c r="H451" t="s">
        <v>31</v>
      </c>
      <c r="I451" t="s">
        <v>48</v>
      </c>
      <c r="J451">
        <v>176968.27</v>
      </c>
      <c r="K451" t="s">
        <v>23</v>
      </c>
      <c r="L451" s="2">
        <v>45669</v>
      </c>
      <c r="M451" t="s">
        <v>24</v>
      </c>
      <c r="N451">
        <v>1090544.8999999999</v>
      </c>
      <c r="O451" t="s">
        <v>25</v>
      </c>
      <c r="P451">
        <f>YEAR('Main DataSet'!$L451)</f>
        <v>2025</v>
      </c>
      <c r="Q451">
        <f>MONTH('Main DataSet'!$L451)</f>
        <v>1</v>
      </c>
      <c r="R451" t="str">
        <f>TEXT('Main DataSet'!$L451,"MM-YYYY")</f>
        <v>01-2025</v>
      </c>
    </row>
    <row r="452" spans="1:18" ht="15.75" customHeight="1" x14ac:dyDescent="0.2">
      <c r="A452" t="s">
        <v>990</v>
      </c>
      <c r="B452">
        <v>916141</v>
      </c>
      <c r="C452" t="s">
        <v>991</v>
      </c>
      <c r="D452">
        <v>838735243503</v>
      </c>
      <c r="E452" t="s">
        <v>28</v>
      </c>
      <c r="F452" t="s">
        <v>29</v>
      </c>
      <c r="G452" t="s">
        <v>30</v>
      </c>
      <c r="H452" t="s">
        <v>67</v>
      </c>
      <c r="I452" t="s">
        <v>38</v>
      </c>
      <c r="J452">
        <v>112350.94</v>
      </c>
      <c r="K452" t="s">
        <v>32</v>
      </c>
      <c r="L452" s="2">
        <v>45193</v>
      </c>
      <c r="M452" t="s">
        <v>24</v>
      </c>
      <c r="N452">
        <v>868277.44</v>
      </c>
      <c r="O452" t="s">
        <v>25</v>
      </c>
      <c r="P452">
        <f>YEAR('Main DataSet'!$L452)</f>
        <v>2023</v>
      </c>
      <c r="Q452">
        <f>MONTH('Main DataSet'!$L452)</f>
        <v>9</v>
      </c>
      <c r="R452" t="str">
        <f>TEXT('Main DataSet'!$L452,"MM-YYYY")</f>
        <v>09-2023</v>
      </c>
    </row>
    <row r="453" spans="1:18" ht="15.75" customHeight="1" x14ac:dyDescent="0.2">
      <c r="A453" t="s">
        <v>992</v>
      </c>
      <c r="B453">
        <v>155828</v>
      </c>
      <c r="C453" t="s">
        <v>993</v>
      </c>
      <c r="D453">
        <v>139729440036</v>
      </c>
      <c r="E453" t="s">
        <v>35</v>
      </c>
      <c r="F453" t="s">
        <v>42</v>
      </c>
      <c r="G453" t="s">
        <v>43</v>
      </c>
      <c r="H453" t="s">
        <v>21</v>
      </c>
      <c r="I453" t="s">
        <v>48</v>
      </c>
      <c r="J453">
        <v>177814.59</v>
      </c>
      <c r="K453" t="s">
        <v>39</v>
      </c>
      <c r="L453" s="2">
        <v>45662</v>
      </c>
      <c r="M453" t="s">
        <v>24</v>
      </c>
      <c r="N453">
        <v>1805585.1</v>
      </c>
      <c r="O453" t="s">
        <v>25</v>
      </c>
      <c r="P453">
        <f>YEAR('Main DataSet'!$L453)</f>
        <v>2025</v>
      </c>
      <c r="Q453">
        <f>MONTH('Main DataSet'!$L453)</f>
        <v>1</v>
      </c>
      <c r="R453" t="str">
        <f>TEXT('Main DataSet'!$L453,"MM-YYYY")</f>
        <v>01-2025</v>
      </c>
    </row>
    <row r="454" spans="1:18" ht="15.75" customHeight="1" x14ac:dyDescent="0.2">
      <c r="A454" t="s">
        <v>994</v>
      </c>
      <c r="B454">
        <v>612319</v>
      </c>
      <c r="C454" t="s">
        <v>995</v>
      </c>
      <c r="D454">
        <v>656157267106</v>
      </c>
      <c r="E454" t="s">
        <v>28</v>
      </c>
      <c r="F454" t="s">
        <v>29</v>
      </c>
      <c r="G454" t="s">
        <v>30</v>
      </c>
      <c r="H454" t="s">
        <v>70</v>
      </c>
      <c r="I454" t="s">
        <v>22</v>
      </c>
      <c r="J454">
        <v>143983.29999999999</v>
      </c>
      <c r="K454" t="s">
        <v>39</v>
      </c>
      <c r="L454" s="2">
        <v>45666</v>
      </c>
      <c r="M454" t="s">
        <v>24</v>
      </c>
      <c r="N454">
        <v>306242.71000000002</v>
      </c>
      <c r="O454" t="s">
        <v>25</v>
      </c>
      <c r="P454">
        <f>YEAR('Main DataSet'!$L454)</f>
        <v>2025</v>
      </c>
      <c r="Q454">
        <f>MONTH('Main DataSet'!$L454)</f>
        <v>1</v>
      </c>
      <c r="R454" t="str">
        <f>TEXT('Main DataSet'!$L454,"MM-YYYY")</f>
        <v>01-2025</v>
      </c>
    </row>
    <row r="455" spans="1:18" ht="15.75" customHeight="1" x14ac:dyDescent="0.2">
      <c r="A455" t="s">
        <v>996</v>
      </c>
      <c r="B455">
        <v>835355</v>
      </c>
      <c r="C455" t="s">
        <v>997</v>
      </c>
      <c r="D455">
        <v>536963920814</v>
      </c>
      <c r="E455" t="s">
        <v>28</v>
      </c>
      <c r="F455" t="s">
        <v>79</v>
      </c>
      <c r="G455" t="s">
        <v>80</v>
      </c>
      <c r="H455" t="s">
        <v>31</v>
      </c>
      <c r="I455" t="s">
        <v>22</v>
      </c>
      <c r="J455">
        <v>216375.47</v>
      </c>
      <c r="K455" t="s">
        <v>32</v>
      </c>
      <c r="L455" s="2">
        <v>45464</v>
      </c>
      <c r="M455" t="s">
        <v>24</v>
      </c>
      <c r="N455">
        <v>1872659.81</v>
      </c>
      <c r="O455" t="s">
        <v>25</v>
      </c>
      <c r="P455">
        <f>YEAR('Main DataSet'!$L455)</f>
        <v>2024</v>
      </c>
      <c r="Q455">
        <f>MONTH('Main DataSet'!$L455)</f>
        <v>6</v>
      </c>
      <c r="R455" t="str">
        <f>TEXT('Main DataSet'!$L455,"MM-YYYY")</f>
        <v>06-2024</v>
      </c>
    </row>
    <row r="456" spans="1:18" ht="15.75" customHeight="1" x14ac:dyDescent="0.2">
      <c r="A456" t="s">
        <v>998</v>
      </c>
      <c r="B456">
        <v>504669</v>
      </c>
      <c r="C456" t="s">
        <v>999</v>
      </c>
      <c r="D456">
        <v>754422929593</v>
      </c>
      <c r="E456" t="s">
        <v>18</v>
      </c>
      <c r="F456" t="s">
        <v>87</v>
      </c>
      <c r="G456" t="s">
        <v>88</v>
      </c>
      <c r="H456" t="s">
        <v>67</v>
      </c>
      <c r="I456" t="s">
        <v>53</v>
      </c>
      <c r="J456">
        <v>153284.23000000001</v>
      </c>
      <c r="K456" t="s">
        <v>49</v>
      </c>
      <c r="L456" s="2">
        <v>45553</v>
      </c>
      <c r="M456" t="s">
        <v>24</v>
      </c>
      <c r="N456">
        <v>2047719.1</v>
      </c>
      <c r="O456" t="s">
        <v>25</v>
      </c>
      <c r="P456">
        <f>YEAR('Main DataSet'!$L456)</f>
        <v>2024</v>
      </c>
      <c r="Q456">
        <f>MONTH('Main DataSet'!$L456)</f>
        <v>9</v>
      </c>
      <c r="R456" t="str">
        <f>TEXT('Main DataSet'!$L456,"MM-YYYY")</f>
        <v>09-2024</v>
      </c>
    </row>
    <row r="457" spans="1:18" ht="15.75" customHeight="1" x14ac:dyDescent="0.2">
      <c r="A457" t="s">
        <v>1000</v>
      </c>
      <c r="B457">
        <v>473260</v>
      </c>
      <c r="C457" t="s">
        <v>1001</v>
      </c>
      <c r="D457">
        <v>304550826056</v>
      </c>
      <c r="E457" t="s">
        <v>28</v>
      </c>
      <c r="F457" t="s">
        <v>150</v>
      </c>
      <c r="G457" t="s">
        <v>151</v>
      </c>
      <c r="H457" t="s">
        <v>31</v>
      </c>
      <c r="I457" t="s">
        <v>53</v>
      </c>
      <c r="J457">
        <v>204242.97</v>
      </c>
      <c r="K457" t="s">
        <v>32</v>
      </c>
      <c r="L457" s="2">
        <v>45408</v>
      </c>
      <c r="M457" t="s">
        <v>24</v>
      </c>
      <c r="N457">
        <v>1266418.3500000001</v>
      </c>
      <c r="O457" t="s">
        <v>25</v>
      </c>
      <c r="P457">
        <f>YEAR('Main DataSet'!$L457)</f>
        <v>2024</v>
      </c>
      <c r="Q457">
        <f>MONTH('Main DataSet'!$L457)</f>
        <v>4</v>
      </c>
      <c r="R457" t="str">
        <f>TEXT('Main DataSet'!$L457,"MM-YYYY")</f>
        <v>04-2024</v>
      </c>
    </row>
    <row r="458" spans="1:18" ht="15.75" customHeight="1" x14ac:dyDescent="0.2">
      <c r="A458" t="s">
        <v>1002</v>
      </c>
      <c r="B458">
        <v>295399</v>
      </c>
      <c r="C458" t="s">
        <v>1003</v>
      </c>
      <c r="D458">
        <v>841211888565</v>
      </c>
      <c r="E458" t="s">
        <v>64</v>
      </c>
      <c r="F458" t="s">
        <v>166</v>
      </c>
      <c r="G458" t="s">
        <v>167</v>
      </c>
      <c r="H458" t="s">
        <v>21</v>
      </c>
      <c r="I458" t="s">
        <v>48</v>
      </c>
      <c r="J458">
        <v>32917.839999999997</v>
      </c>
      <c r="K458" t="s">
        <v>23</v>
      </c>
      <c r="L458" s="2">
        <v>45546</v>
      </c>
      <c r="M458" t="s">
        <v>24</v>
      </c>
      <c r="N458">
        <v>270187.18</v>
      </c>
      <c r="O458" t="s">
        <v>25</v>
      </c>
      <c r="P458">
        <f>YEAR('Main DataSet'!$L458)</f>
        <v>2024</v>
      </c>
      <c r="Q458">
        <f>MONTH('Main DataSet'!$L458)</f>
        <v>9</v>
      </c>
      <c r="R458" t="str">
        <f>TEXT('Main DataSet'!$L458,"MM-YYYY")</f>
        <v>09-2024</v>
      </c>
    </row>
    <row r="459" spans="1:18" ht="15.75" customHeight="1" x14ac:dyDescent="0.2">
      <c r="A459" t="s">
        <v>1004</v>
      </c>
      <c r="B459">
        <v>334036</v>
      </c>
      <c r="C459" t="s">
        <v>1005</v>
      </c>
      <c r="D459">
        <v>537089530790</v>
      </c>
      <c r="E459" t="s">
        <v>35</v>
      </c>
      <c r="F459" t="s">
        <v>60</v>
      </c>
      <c r="G459" t="s">
        <v>61</v>
      </c>
      <c r="H459" t="s">
        <v>67</v>
      </c>
      <c r="I459" t="s">
        <v>38</v>
      </c>
      <c r="J459">
        <v>104083.23</v>
      </c>
      <c r="K459" t="s">
        <v>32</v>
      </c>
      <c r="L459" s="2">
        <v>45391</v>
      </c>
      <c r="M459" t="s">
        <v>24</v>
      </c>
      <c r="N459">
        <v>1489360.81</v>
      </c>
      <c r="O459" t="s">
        <v>25</v>
      </c>
      <c r="P459">
        <f>YEAR('Main DataSet'!$L459)</f>
        <v>2024</v>
      </c>
      <c r="Q459">
        <f>MONTH('Main DataSet'!$L459)</f>
        <v>4</v>
      </c>
      <c r="R459" t="str">
        <f>TEXT('Main DataSet'!$L459,"MM-YYYY")</f>
        <v>04-2024</v>
      </c>
    </row>
    <row r="460" spans="1:18" ht="15.75" customHeight="1" x14ac:dyDescent="0.2">
      <c r="A460" t="s">
        <v>1006</v>
      </c>
      <c r="B460">
        <v>935158</v>
      </c>
      <c r="C460" t="s">
        <v>1007</v>
      </c>
      <c r="D460">
        <v>944938346542</v>
      </c>
      <c r="E460" t="s">
        <v>64</v>
      </c>
      <c r="F460" t="s">
        <v>177</v>
      </c>
      <c r="G460" t="s">
        <v>178</v>
      </c>
      <c r="H460" t="s">
        <v>70</v>
      </c>
      <c r="I460" t="s">
        <v>48</v>
      </c>
      <c r="J460">
        <v>150210.6</v>
      </c>
      <c r="K460" t="s">
        <v>98</v>
      </c>
      <c r="L460" s="2">
        <v>45624</v>
      </c>
      <c r="M460" t="s">
        <v>24</v>
      </c>
      <c r="N460">
        <v>1487795.84</v>
      </c>
      <c r="O460" t="s">
        <v>25</v>
      </c>
      <c r="P460">
        <f>YEAR('Main DataSet'!$L460)</f>
        <v>2024</v>
      </c>
      <c r="Q460">
        <f>MONTH('Main DataSet'!$L460)</f>
        <v>11</v>
      </c>
      <c r="R460" t="str">
        <f>TEXT('Main DataSet'!$L460,"MM-YYYY")</f>
        <v>11-2024</v>
      </c>
    </row>
    <row r="461" spans="1:18" ht="15.75" customHeight="1" x14ac:dyDescent="0.2">
      <c r="A461" t="s">
        <v>1008</v>
      </c>
      <c r="B461">
        <v>767001</v>
      </c>
      <c r="C461" t="s">
        <v>1009</v>
      </c>
      <c r="D461">
        <v>674606333456</v>
      </c>
      <c r="E461" t="s">
        <v>64</v>
      </c>
      <c r="F461" t="s">
        <v>166</v>
      </c>
      <c r="G461" t="s">
        <v>167</v>
      </c>
      <c r="H461" t="s">
        <v>67</v>
      </c>
      <c r="I461" t="s">
        <v>22</v>
      </c>
      <c r="J461">
        <v>540827.56000000006</v>
      </c>
      <c r="K461" t="s">
        <v>23</v>
      </c>
      <c r="L461" s="2">
        <v>45403</v>
      </c>
      <c r="M461" t="s">
        <v>24</v>
      </c>
      <c r="N461">
        <v>1173477.6299999999</v>
      </c>
      <c r="O461" t="s">
        <v>25</v>
      </c>
      <c r="P461">
        <f>YEAR('Main DataSet'!$L461)</f>
        <v>2024</v>
      </c>
      <c r="Q461">
        <f>MONTH('Main DataSet'!$L461)</f>
        <v>4</v>
      </c>
      <c r="R461" t="str">
        <f>TEXT('Main DataSet'!$L461,"MM-YYYY")</f>
        <v>04-2024</v>
      </c>
    </row>
    <row r="462" spans="1:18" ht="15.75" customHeight="1" x14ac:dyDescent="0.2">
      <c r="A462" t="s">
        <v>1010</v>
      </c>
      <c r="B462">
        <v>969821</v>
      </c>
      <c r="C462" t="s">
        <v>1011</v>
      </c>
      <c r="D462">
        <v>780902409708</v>
      </c>
      <c r="E462" t="s">
        <v>35</v>
      </c>
      <c r="F462" t="s">
        <v>36</v>
      </c>
      <c r="G462" t="s">
        <v>37</v>
      </c>
      <c r="H462" t="s">
        <v>70</v>
      </c>
      <c r="I462" t="s">
        <v>38</v>
      </c>
      <c r="J462">
        <v>137525.01</v>
      </c>
      <c r="K462" t="s">
        <v>39</v>
      </c>
      <c r="L462" s="2">
        <v>45322</v>
      </c>
      <c r="M462" t="s">
        <v>24</v>
      </c>
      <c r="N462">
        <v>1849118.19</v>
      </c>
      <c r="O462" t="s">
        <v>25</v>
      </c>
      <c r="P462">
        <f>YEAR('Main DataSet'!$L462)</f>
        <v>2024</v>
      </c>
      <c r="Q462">
        <f>MONTH('Main DataSet'!$L462)</f>
        <v>1</v>
      </c>
      <c r="R462" t="str">
        <f>TEXT('Main DataSet'!$L462,"MM-YYYY")</f>
        <v>01-2024</v>
      </c>
    </row>
    <row r="463" spans="1:18" ht="15.75" customHeight="1" x14ac:dyDescent="0.2">
      <c r="A463" t="s">
        <v>1012</v>
      </c>
      <c r="B463">
        <v>567678</v>
      </c>
      <c r="C463" t="s">
        <v>1013</v>
      </c>
      <c r="D463">
        <v>441180444719</v>
      </c>
      <c r="E463" t="s">
        <v>64</v>
      </c>
      <c r="F463" t="s">
        <v>65</v>
      </c>
      <c r="G463" t="s">
        <v>66</v>
      </c>
      <c r="H463" t="s">
        <v>31</v>
      </c>
      <c r="I463" t="s">
        <v>22</v>
      </c>
      <c r="J463">
        <v>520051.76</v>
      </c>
      <c r="K463" t="s">
        <v>39</v>
      </c>
      <c r="L463" s="2">
        <v>45454</v>
      </c>
      <c r="M463" t="s">
        <v>24</v>
      </c>
      <c r="N463">
        <v>1715566.76</v>
      </c>
      <c r="O463" t="s">
        <v>25</v>
      </c>
      <c r="P463">
        <f>YEAR('Main DataSet'!$L463)</f>
        <v>2024</v>
      </c>
      <c r="Q463">
        <f>MONTH('Main DataSet'!$L463)</f>
        <v>6</v>
      </c>
      <c r="R463" t="str">
        <f>TEXT('Main DataSet'!$L463,"MM-YYYY")</f>
        <v>06-2024</v>
      </c>
    </row>
    <row r="464" spans="1:18" ht="15.75" customHeight="1" x14ac:dyDescent="0.2">
      <c r="A464" t="s">
        <v>1014</v>
      </c>
      <c r="B464">
        <v>689621</v>
      </c>
      <c r="C464" t="s">
        <v>1015</v>
      </c>
      <c r="D464">
        <v>996618159017</v>
      </c>
      <c r="E464" t="s">
        <v>91</v>
      </c>
      <c r="F464" t="s">
        <v>130</v>
      </c>
      <c r="G464" t="s">
        <v>131</v>
      </c>
      <c r="H464" t="s">
        <v>70</v>
      </c>
      <c r="I464" t="s">
        <v>48</v>
      </c>
      <c r="J464">
        <v>163962.70000000001</v>
      </c>
      <c r="K464" t="s">
        <v>32</v>
      </c>
      <c r="L464" s="2">
        <v>45211</v>
      </c>
      <c r="M464" t="s">
        <v>24</v>
      </c>
      <c r="N464">
        <v>2001906.48</v>
      </c>
      <c r="O464" t="s">
        <v>25</v>
      </c>
      <c r="P464">
        <f>YEAR('Main DataSet'!$L464)</f>
        <v>2023</v>
      </c>
      <c r="Q464">
        <f>MONTH('Main DataSet'!$L464)</f>
        <v>10</v>
      </c>
      <c r="R464" t="str">
        <f>TEXT('Main DataSet'!$L464,"MM-YYYY")</f>
        <v>10-2023</v>
      </c>
    </row>
    <row r="465" spans="1:18" ht="15.75" customHeight="1" x14ac:dyDescent="0.2">
      <c r="A465" t="s">
        <v>1016</v>
      </c>
      <c r="B465">
        <v>224857</v>
      </c>
      <c r="C465" t="s">
        <v>1017</v>
      </c>
      <c r="D465">
        <v>337595113221</v>
      </c>
      <c r="E465" t="s">
        <v>64</v>
      </c>
      <c r="F465" t="s">
        <v>166</v>
      </c>
      <c r="G465" t="s">
        <v>167</v>
      </c>
      <c r="H465" t="s">
        <v>31</v>
      </c>
      <c r="I465" t="s">
        <v>22</v>
      </c>
      <c r="J465">
        <v>416358.8</v>
      </c>
      <c r="K465" t="s">
        <v>39</v>
      </c>
      <c r="L465" s="2">
        <v>45700</v>
      </c>
      <c r="M465" t="s">
        <v>24</v>
      </c>
      <c r="N465">
        <v>2177281.27</v>
      </c>
      <c r="O465" t="s">
        <v>25</v>
      </c>
      <c r="P465">
        <f>YEAR('Main DataSet'!$L465)</f>
        <v>2025</v>
      </c>
      <c r="Q465">
        <f>MONTH('Main DataSet'!$L465)</f>
        <v>2</v>
      </c>
      <c r="R465" t="str">
        <f>TEXT('Main DataSet'!$L465,"MM-YYYY")</f>
        <v>02-2025</v>
      </c>
    </row>
    <row r="466" spans="1:18" ht="15.75" customHeight="1" x14ac:dyDescent="0.2">
      <c r="A466" t="s">
        <v>1018</v>
      </c>
      <c r="B466">
        <v>240183</v>
      </c>
      <c r="C466" t="s">
        <v>1019</v>
      </c>
      <c r="D466">
        <v>781431196996</v>
      </c>
      <c r="E466" t="s">
        <v>64</v>
      </c>
      <c r="F466" t="s">
        <v>83</v>
      </c>
      <c r="G466" t="s">
        <v>84</v>
      </c>
      <c r="H466" t="s">
        <v>70</v>
      </c>
      <c r="I466" t="s">
        <v>48</v>
      </c>
      <c r="J466">
        <v>102467.43</v>
      </c>
      <c r="K466" t="s">
        <v>98</v>
      </c>
      <c r="L466" s="2">
        <v>45346</v>
      </c>
      <c r="M466" t="s">
        <v>113</v>
      </c>
      <c r="N466">
        <v>1069178.8700000001</v>
      </c>
      <c r="O466" t="s">
        <v>25</v>
      </c>
      <c r="P466">
        <f>YEAR('Main DataSet'!$L466)</f>
        <v>2024</v>
      </c>
      <c r="Q466">
        <f>MONTH('Main DataSet'!$L466)</f>
        <v>2</v>
      </c>
      <c r="R466" t="str">
        <f>TEXT('Main DataSet'!$L466,"MM-YYYY")</f>
        <v>02-2024</v>
      </c>
    </row>
    <row r="467" spans="1:18" ht="15.75" customHeight="1" x14ac:dyDescent="0.2">
      <c r="A467" t="s">
        <v>1020</v>
      </c>
      <c r="B467">
        <v>187594</v>
      </c>
      <c r="C467" t="s">
        <v>1021</v>
      </c>
      <c r="D467">
        <v>670671711566</v>
      </c>
      <c r="E467" t="s">
        <v>18</v>
      </c>
      <c r="F467" t="s">
        <v>19</v>
      </c>
      <c r="G467" t="s">
        <v>20</v>
      </c>
      <c r="H467" t="s">
        <v>31</v>
      </c>
      <c r="I467" t="s">
        <v>53</v>
      </c>
      <c r="J467">
        <v>442525.87</v>
      </c>
      <c r="K467" t="s">
        <v>32</v>
      </c>
      <c r="L467" s="2">
        <v>45627</v>
      </c>
      <c r="M467" t="s">
        <v>24</v>
      </c>
      <c r="N467">
        <v>1221978.27</v>
      </c>
      <c r="O467" t="s">
        <v>25</v>
      </c>
      <c r="P467">
        <f>YEAR('Main DataSet'!$L467)</f>
        <v>2024</v>
      </c>
      <c r="Q467">
        <f>MONTH('Main DataSet'!$L467)</f>
        <v>12</v>
      </c>
      <c r="R467" t="str">
        <f>TEXT('Main DataSet'!$L467,"MM-YYYY")</f>
        <v>12-2024</v>
      </c>
    </row>
    <row r="468" spans="1:18" ht="15.75" customHeight="1" x14ac:dyDescent="0.2">
      <c r="A468" t="s">
        <v>1022</v>
      </c>
      <c r="B468">
        <v>490738</v>
      </c>
      <c r="C468" t="s">
        <v>1023</v>
      </c>
      <c r="D468">
        <v>159475214466</v>
      </c>
      <c r="E468" t="s">
        <v>18</v>
      </c>
      <c r="F468" t="s">
        <v>156</v>
      </c>
      <c r="G468" t="s">
        <v>157</v>
      </c>
      <c r="H468" t="s">
        <v>70</v>
      </c>
      <c r="I468" t="s">
        <v>38</v>
      </c>
      <c r="J468">
        <v>9274.36</v>
      </c>
      <c r="K468" t="s">
        <v>32</v>
      </c>
      <c r="L468" s="2">
        <v>45401</v>
      </c>
      <c r="M468" t="s">
        <v>24</v>
      </c>
      <c r="N468">
        <v>1645111.59</v>
      </c>
      <c r="O468" t="s">
        <v>25</v>
      </c>
      <c r="P468">
        <f>YEAR('Main DataSet'!$L468)</f>
        <v>2024</v>
      </c>
      <c r="Q468">
        <f>MONTH('Main DataSet'!$L468)</f>
        <v>4</v>
      </c>
      <c r="R468" t="str">
        <f>TEXT('Main DataSet'!$L468,"MM-YYYY")</f>
        <v>04-2024</v>
      </c>
    </row>
    <row r="469" spans="1:18" ht="15.75" customHeight="1" x14ac:dyDescent="0.2">
      <c r="A469" t="s">
        <v>1024</v>
      </c>
      <c r="B469">
        <v>186325</v>
      </c>
      <c r="C469" t="s">
        <v>1025</v>
      </c>
      <c r="D469">
        <v>760895056386</v>
      </c>
      <c r="E469" t="s">
        <v>28</v>
      </c>
      <c r="F469" t="s">
        <v>79</v>
      </c>
      <c r="G469" t="s">
        <v>80</v>
      </c>
      <c r="H469" t="s">
        <v>21</v>
      </c>
      <c r="I469" t="s">
        <v>48</v>
      </c>
      <c r="J469">
        <v>118082.76</v>
      </c>
      <c r="K469" t="s">
        <v>23</v>
      </c>
      <c r="L469" s="2">
        <v>45152</v>
      </c>
      <c r="M469" t="s">
        <v>24</v>
      </c>
      <c r="N469">
        <v>1846449.16</v>
      </c>
      <c r="O469" t="s">
        <v>25</v>
      </c>
      <c r="P469">
        <f>YEAR('Main DataSet'!$L469)</f>
        <v>2023</v>
      </c>
      <c r="Q469">
        <f>MONTH('Main DataSet'!$L469)</f>
        <v>8</v>
      </c>
      <c r="R469" t="str">
        <f>TEXT('Main DataSet'!$L469,"MM-YYYY")</f>
        <v>08-2023</v>
      </c>
    </row>
    <row r="470" spans="1:18" ht="15.75" customHeight="1" x14ac:dyDescent="0.2">
      <c r="A470" t="s">
        <v>1026</v>
      </c>
      <c r="B470">
        <v>441216</v>
      </c>
      <c r="C470" t="s">
        <v>1027</v>
      </c>
      <c r="D470">
        <v>384501417224</v>
      </c>
      <c r="E470" t="s">
        <v>91</v>
      </c>
      <c r="F470" t="s">
        <v>105</v>
      </c>
      <c r="G470" t="s">
        <v>106</v>
      </c>
      <c r="H470" t="s">
        <v>67</v>
      </c>
      <c r="I470" t="s">
        <v>53</v>
      </c>
      <c r="J470">
        <v>15002.6</v>
      </c>
      <c r="K470" t="s">
        <v>49</v>
      </c>
      <c r="L470" s="2">
        <v>45167</v>
      </c>
      <c r="M470" t="s">
        <v>24</v>
      </c>
      <c r="N470">
        <v>426860.72</v>
      </c>
      <c r="O470" t="s">
        <v>25</v>
      </c>
      <c r="P470">
        <f>YEAR('Main DataSet'!$L470)</f>
        <v>2023</v>
      </c>
      <c r="Q470">
        <f>MONTH('Main DataSet'!$L470)</f>
        <v>8</v>
      </c>
      <c r="R470" t="str">
        <f>TEXT('Main DataSet'!$L470,"MM-YYYY")</f>
        <v>08-2023</v>
      </c>
    </row>
    <row r="471" spans="1:18" ht="15.75" customHeight="1" x14ac:dyDescent="0.2">
      <c r="A471" t="s">
        <v>1028</v>
      </c>
      <c r="B471">
        <v>415091</v>
      </c>
      <c r="C471" t="s">
        <v>1029</v>
      </c>
      <c r="D471">
        <v>582715807001</v>
      </c>
      <c r="E471" t="s">
        <v>91</v>
      </c>
      <c r="F471" t="s">
        <v>162</v>
      </c>
      <c r="G471" t="s">
        <v>163</v>
      </c>
      <c r="H471" t="s">
        <v>31</v>
      </c>
      <c r="I471" t="s">
        <v>53</v>
      </c>
      <c r="J471">
        <v>186304.69</v>
      </c>
      <c r="K471" t="s">
        <v>49</v>
      </c>
      <c r="L471" s="2">
        <v>45467</v>
      </c>
      <c r="M471" t="s">
        <v>24</v>
      </c>
      <c r="N471">
        <v>558204.13</v>
      </c>
      <c r="O471" t="s">
        <v>25</v>
      </c>
      <c r="P471">
        <f>YEAR('Main DataSet'!$L471)</f>
        <v>2024</v>
      </c>
      <c r="Q471">
        <f>MONTH('Main DataSet'!$L471)</f>
        <v>6</v>
      </c>
      <c r="R471" t="str">
        <f>TEXT('Main DataSet'!$L471,"MM-YYYY")</f>
        <v>06-2024</v>
      </c>
    </row>
    <row r="472" spans="1:18" ht="15.75" customHeight="1" x14ac:dyDescent="0.2">
      <c r="A472" t="s">
        <v>1030</v>
      </c>
      <c r="B472">
        <v>647451</v>
      </c>
      <c r="C472" t="s">
        <v>1031</v>
      </c>
      <c r="D472">
        <v>908575564799</v>
      </c>
      <c r="E472" t="s">
        <v>28</v>
      </c>
      <c r="F472" t="s">
        <v>79</v>
      </c>
      <c r="G472" t="s">
        <v>80</v>
      </c>
      <c r="H472" t="s">
        <v>67</v>
      </c>
      <c r="I472" t="s">
        <v>53</v>
      </c>
      <c r="J472">
        <v>305720.05</v>
      </c>
      <c r="K472" t="s">
        <v>49</v>
      </c>
      <c r="L472" s="2">
        <v>45698</v>
      </c>
      <c r="M472" t="s">
        <v>113</v>
      </c>
      <c r="N472">
        <v>1570752.15</v>
      </c>
      <c r="O472" t="s">
        <v>25</v>
      </c>
      <c r="P472">
        <f>YEAR('Main DataSet'!$L472)</f>
        <v>2025</v>
      </c>
      <c r="Q472">
        <f>MONTH('Main DataSet'!$L472)</f>
        <v>2</v>
      </c>
      <c r="R472" t="str">
        <f>TEXT('Main DataSet'!$L472,"MM-YYYY")</f>
        <v>02-2025</v>
      </c>
    </row>
    <row r="473" spans="1:18" ht="15.75" customHeight="1" x14ac:dyDescent="0.2">
      <c r="A473" t="s">
        <v>1032</v>
      </c>
      <c r="B473">
        <v>313682</v>
      </c>
      <c r="C473" t="s">
        <v>1033</v>
      </c>
      <c r="D473">
        <v>975793031886</v>
      </c>
      <c r="E473" t="s">
        <v>35</v>
      </c>
      <c r="F473" t="s">
        <v>36</v>
      </c>
      <c r="G473" t="s">
        <v>37</v>
      </c>
      <c r="H473" t="s">
        <v>70</v>
      </c>
      <c r="I473" t="s">
        <v>53</v>
      </c>
      <c r="J473">
        <v>94684.54</v>
      </c>
      <c r="K473" t="s">
        <v>49</v>
      </c>
      <c r="L473" s="2">
        <v>45521</v>
      </c>
      <c r="M473" t="s">
        <v>24</v>
      </c>
      <c r="N473">
        <v>481839.38</v>
      </c>
      <c r="O473" t="s">
        <v>25</v>
      </c>
      <c r="P473">
        <f>YEAR('Main DataSet'!$L473)</f>
        <v>2024</v>
      </c>
      <c r="Q473">
        <f>MONTH('Main DataSet'!$L473)</f>
        <v>8</v>
      </c>
      <c r="R473" t="str">
        <f>TEXT('Main DataSet'!$L473,"MM-YYYY")</f>
        <v>08-2024</v>
      </c>
    </row>
    <row r="474" spans="1:18" ht="15.75" customHeight="1" x14ac:dyDescent="0.2">
      <c r="A474" t="s">
        <v>1034</v>
      </c>
      <c r="B474">
        <v>896301</v>
      </c>
      <c r="C474" t="s">
        <v>1035</v>
      </c>
      <c r="D474">
        <v>434355404660</v>
      </c>
      <c r="E474" t="s">
        <v>91</v>
      </c>
      <c r="F474" t="s">
        <v>109</v>
      </c>
      <c r="G474" t="s">
        <v>110</v>
      </c>
      <c r="H474" t="s">
        <v>31</v>
      </c>
      <c r="I474" t="s">
        <v>53</v>
      </c>
      <c r="J474">
        <v>266228.63</v>
      </c>
      <c r="K474" t="s">
        <v>49</v>
      </c>
      <c r="L474" s="2">
        <v>45724</v>
      </c>
      <c r="M474" t="s">
        <v>24</v>
      </c>
      <c r="N474">
        <v>1677551.8</v>
      </c>
      <c r="O474" t="s">
        <v>25</v>
      </c>
      <c r="P474">
        <f>YEAR('Main DataSet'!$L474)</f>
        <v>2025</v>
      </c>
      <c r="Q474">
        <f>MONTH('Main DataSet'!$L474)</f>
        <v>3</v>
      </c>
      <c r="R474" t="str">
        <f>TEXT('Main DataSet'!$L474,"MM-YYYY")</f>
        <v>03-2025</v>
      </c>
    </row>
    <row r="475" spans="1:18" ht="15.75" customHeight="1" x14ac:dyDescent="0.2">
      <c r="A475" t="s">
        <v>1036</v>
      </c>
      <c r="B475">
        <v>675784</v>
      </c>
      <c r="C475" t="s">
        <v>1037</v>
      </c>
      <c r="D475">
        <v>788941069391</v>
      </c>
      <c r="E475" t="s">
        <v>18</v>
      </c>
      <c r="F475" t="s">
        <v>87</v>
      </c>
      <c r="G475" t="s">
        <v>88</v>
      </c>
      <c r="H475" t="s">
        <v>21</v>
      </c>
      <c r="I475" t="s">
        <v>38</v>
      </c>
      <c r="J475">
        <v>103723.98</v>
      </c>
      <c r="K475" t="s">
        <v>98</v>
      </c>
      <c r="L475" s="2">
        <v>45639</v>
      </c>
      <c r="M475" t="s">
        <v>24</v>
      </c>
      <c r="N475">
        <v>102204.71</v>
      </c>
      <c r="O475" t="s">
        <v>25</v>
      </c>
      <c r="P475">
        <f>YEAR('Main DataSet'!$L475)</f>
        <v>2024</v>
      </c>
      <c r="Q475">
        <f>MONTH('Main DataSet'!$L475)</f>
        <v>12</v>
      </c>
      <c r="R475" t="str">
        <f>TEXT('Main DataSet'!$L475,"MM-YYYY")</f>
        <v>12-2024</v>
      </c>
    </row>
    <row r="476" spans="1:18" ht="15.75" customHeight="1" x14ac:dyDescent="0.2">
      <c r="A476" t="s">
        <v>1038</v>
      </c>
      <c r="B476">
        <v>555371</v>
      </c>
      <c r="C476" t="s">
        <v>1039</v>
      </c>
      <c r="D476">
        <v>229471966150</v>
      </c>
      <c r="E476" t="s">
        <v>35</v>
      </c>
      <c r="F476" t="s">
        <v>73</v>
      </c>
      <c r="G476" t="s">
        <v>74</v>
      </c>
      <c r="H476" t="s">
        <v>70</v>
      </c>
      <c r="I476" t="s">
        <v>38</v>
      </c>
      <c r="J476">
        <v>82951.97</v>
      </c>
      <c r="K476" t="s">
        <v>39</v>
      </c>
      <c r="L476" s="2">
        <v>45260</v>
      </c>
      <c r="M476" t="s">
        <v>24</v>
      </c>
      <c r="N476">
        <v>1906817.37</v>
      </c>
      <c r="O476" t="s">
        <v>25</v>
      </c>
      <c r="P476">
        <f>YEAR('Main DataSet'!$L476)</f>
        <v>2023</v>
      </c>
      <c r="Q476">
        <f>MONTH('Main DataSet'!$L476)</f>
        <v>11</v>
      </c>
      <c r="R476" t="str">
        <f>TEXT('Main DataSet'!$L476,"MM-YYYY")</f>
        <v>11-2023</v>
      </c>
    </row>
    <row r="477" spans="1:18" ht="15.75" customHeight="1" x14ac:dyDescent="0.2">
      <c r="A477" t="s">
        <v>1040</v>
      </c>
      <c r="B477">
        <v>718015</v>
      </c>
      <c r="C477" t="s">
        <v>1041</v>
      </c>
      <c r="D477">
        <v>312934784546</v>
      </c>
      <c r="E477" t="s">
        <v>35</v>
      </c>
      <c r="F477" t="s">
        <v>73</v>
      </c>
      <c r="G477" t="s">
        <v>74</v>
      </c>
      <c r="H477" t="s">
        <v>31</v>
      </c>
      <c r="I477" t="s">
        <v>53</v>
      </c>
      <c r="J477">
        <v>90532.41</v>
      </c>
      <c r="K477" t="s">
        <v>98</v>
      </c>
      <c r="L477" s="2">
        <v>45470</v>
      </c>
      <c r="M477" t="s">
        <v>24</v>
      </c>
      <c r="N477">
        <v>1284948.74</v>
      </c>
      <c r="O477" t="s">
        <v>25</v>
      </c>
      <c r="P477">
        <f>YEAR('Main DataSet'!$L477)</f>
        <v>2024</v>
      </c>
      <c r="Q477">
        <f>MONTH('Main DataSet'!$L477)</f>
        <v>6</v>
      </c>
      <c r="R477" t="str">
        <f>TEXT('Main DataSet'!$L477,"MM-YYYY")</f>
        <v>06-2024</v>
      </c>
    </row>
    <row r="478" spans="1:18" ht="15.75" customHeight="1" x14ac:dyDescent="0.2">
      <c r="A478" t="s">
        <v>1042</v>
      </c>
      <c r="B478">
        <v>303217</v>
      </c>
      <c r="C478" t="s">
        <v>1043</v>
      </c>
      <c r="D478">
        <v>628667719492</v>
      </c>
      <c r="E478" t="s">
        <v>64</v>
      </c>
      <c r="F478" t="s">
        <v>177</v>
      </c>
      <c r="G478" t="s">
        <v>178</v>
      </c>
      <c r="H478" t="s">
        <v>21</v>
      </c>
      <c r="I478" t="s">
        <v>53</v>
      </c>
      <c r="J478">
        <v>25585.29</v>
      </c>
      <c r="K478" t="s">
        <v>32</v>
      </c>
      <c r="L478" s="2">
        <v>45122</v>
      </c>
      <c r="M478" t="s">
        <v>24</v>
      </c>
      <c r="N478">
        <v>1386616.39</v>
      </c>
      <c r="O478" t="s">
        <v>25</v>
      </c>
      <c r="P478">
        <f>YEAR('Main DataSet'!$L478)</f>
        <v>2023</v>
      </c>
      <c r="Q478">
        <f>MONTH('Main DataSet'!$L478)</f>
        <v>7</v>
      </c>
      <c r="R478" t="str">
        <f>TEXT('Main DataSet'!$L478,"MM-YYYY")</f>
        <v>07-2023</v>
      </c>
    </row>
    <row r="479" spans="1:18" ht="15.75" customHeight="1" x14ac:dyDescent="0.2">
      <c r="A479" t="s">
        <v>1044</v>
      </c>
      <c r="B479">
        <v>946247</v>
      </c>
      <c r="C479" t="s">
        <v>1045</v>
      </c>
      <c r="D479">
        <v>800614144292</v>
      </c>
      <c r="E479" t="s">
        <v>35</v>
      </c>
      <c r="F479" t="s">
        <v>36</v>
      </c>
      <c r="G479" t="s">
        <v>37</v>
      </c>
      <c r="H479" t="s">
        <v>67</v>
      </c>
      <c r="I479" t="s">
        <v>53</v>
      </c>
      <c r="J479">
        <v>84085.59</v>
      </c>
      <c r="K479" t="s">
        <v>49</v>
      </c>
      <c r="L479" s="2">
        <v>45268</v>
      </c>
      <c r="M479" t="s">
        <v>24</v>
      </c>
      <c r="N479">
        <v>2036998.71</v>
      </c>
      <c r="O479" t="s">
        <v>25</v>
      </c>
      <c r="P479">
        <f>YEAR('Main DataSet'!$L479)</f>
        <v>2023</v>
      </c>
      <c r="Q479">
        <f>MONTH('Main DataSet'!$L479)</f>
        <v>12</v>
      </c>
      <c r="R479" t="str">
        <f>TEXT('Main DataSet'!$L479,"MM-YYYY")</f>
        <v>12-2023</v>
      </c>
    </row>
    <row r="480" spans="1:18" ht="15.75" customHeight="1" x14ac:dyDescent="0.2">
      <c r="A480" t="s">
        <v>1046</v>
      </c>
      <c r="B480">
        <v>613463</v>
      </c>
      <c r="C480" t="s">
        <v>1047</v>
      </c>
      <c r="D480">
        <v>350731897846</v>
      </c>
      <c r="E480" t="s">
        <v>18</v>
      </c>
      <c r="F480" t="s">
        <v>19</v>
      </c>
      <c r="G480" t="s">
        <v>20</v>
      </c>
      <c r="H480" t="s">
        <v>21</v>
      </c>
      <c r="I480" t="s">
        <v>53</v>
      </c>
      <c r="J480">
        <v>257896.04</v>
      </c>
      <c r="K480" t="s">
        <v>39</v>
      </c>
      <c r="L480" s="2">
        <v>45607</v>
      </c>
      <c r="M480" t="s">
        <v>168</v>
      </c>
      <c r="N480">
        <v>333007.69</v>
      </c>
      <c r="O480" t="s">
        <v>25</v>
      </c>
      <c r="P480">
        <f>YEAR('Main DataSet'!$L480)</f>
        <v>2024</v>
      </c>
      <c r="Q480">
        <f>MONTH('Main DataSet'!$L480)</f>
        <v>11</v>
      </c>
      <c r="R480" t="str">
        <f>TEXT('Main DataSet'!$L480,"MM-YYYY")</f>
        <v>11-2024</v>
      </c>
    </row>
    <row r="481" spans="1:18" ht="15.75" customHeight="1" x14ac:dyDescent="0.2">
      <c r="A481" t="s">
        <v>1048</v>
      </c>
      <c r="B481">
        <v>153582</v>
      </c>
      <c r="C481" t="s">
        <v>1049</v>
      </c>
      <c r="D481">
        <v>830198079057</v>
      </c>
      <c r="E481" t="s">
        <v>91</v>
      </c>
      <c r="F481" t="s">
        <v>92</v>
      </c>
      <c r="G481" t="s">
        <v>93</v>
      </c>
      <c r="H481" t="s">
        <v>70</v>
      </c>
      <c r="I481" t="s">
        <v>48</v>
      </c>
      <c r="J481">
        <v>142440</v>
      </c>
      <c r="K481" t="s">
        <v>32</v>
      </c>
      <c r="L481" s="2">
        <v>45560</v>
      </c>
      <c r="M481" t="s">
        <v>50</v>
      </c>
      <c r="N481">
        <v>778782.49</v>
      </c>
      <c r="O481" t="s">
        <v>25</v>
      </c>
      <c r="P481">
        <f>YEAR('Main DataSet'!$L481)</f>
        <v>2024</v>
      </c>
      <c r="Q481">
        <f>MONTH('Main DataSet'!$L481)</f>
        <v>9</v>
      </c>
      <c r="R481" t="str">
        <f>TEXT('Main DataSet'!$L481,"MM-YYYY")</f>
        <v>09-2024</v>
      </c>
    </row>
    <row r="482" spans="1:18" ht="15.75" customHeight="1" x14ac:dyDescent="0.2">
      <c r="A482" t="s">
        <v>1050</v>
      </c>
      <c r="B482">
        <v>100803</v>
      </c>
      <c r="C482" t="s">
        <v>1051</v>
      </c>
      <c r="D482">
        <v>343430050066</v>
      </c>
      <c r="E482" t="s">
        <v>18</v>
      </c>
      <c r="F482" t="s">
        <v>19</v>
      </c>
      <c r="G482" t="s">
        <v>20</v>
      </c>
      <c r="H482" t="s">
        <v>21</v>
      </c>
      <c r="I482" t="s">
        <v>48</v>
      </c>
      <c r="J482">
        <v>103601.04</v>
      </c>
      <c r="K482" t="s">
        <v>39</v>
      </c>
      <c r="L482" s="2">
        <v>45181</v>
      </c>
      <c r="M482" t="s">
        <v>24</v>
      </c>
      <c r="N482">
        <v>536358.44999999995</v>
      </c>
      <c r="O482" t="s">
        <v>25</v>
      </c>
      <c r="P482">
        <f>YEAR('Main DataSet'!$L482)</f>
        <v>2023</v>
      </c>
      <c r="Q482">
        <f>MONTH('Main DataSet'!$L482)</f>
        <v>9</v>
      </c>
      <c r="R482" t="str">
        <f>TEXT('Main DataSet'!$L482,"MM-YYYY")</f>
        <v>09-2023</v>
      </c>
    </row>
    <row r="483" spans="1:18" ht="15.75" customHeight="1" x14ac:dyDescent="0.2">
      <c r="A483" t="s">
        <v>1052</v>
      </c>
      <c r="B483">
        <v>520243</v>
      </c>
      <c r="C483" t="s">
        <v>1053</v>
      </c>
      <c r="D483">
        <v>340851237938</v>
      </c>
      <c r="E483" t="s">
        <v>28</v>
      </c>
      <c r="F483" t="s">
        <v>150</v>
      </c>
      <c r="G483" t="s">
        <v>151</v>
      </c>
      <c r="H483" t="s">
        <v>31</v>
      </c>
      <c r="I483" t="s">
        <v>22</v>
      </c>
      <c r="J483">
        <v>556413.30000000005</v>
      </c>
      <c r="K483" t="s">
        <v>39</v>
      </c>
      <c r="L483" s="2">
        <v>45825</v>
      </c>
      <c r="M483" t="s">
        <v>24</v>
      </c>
      <c r="N483">
        <v>1461132.13</v>
      </c>
      <c r="O483" t="s">
        <v>25</v>
      </c>
      <c r="P483">
        <f>YEAR('Main DataSet'!$L483)</f>
        <v>2025</v>
      </c>
      <c r="Q483">
        <f>MONTH('Main DataSet'!$L483)</f>
        <v>6</v>
      </c>
      <c r="R483" t="str">
        <f>TEXT('Main DataSet'!$L483,"MM-YYYY")</f>
        <v>06-2025</v>
      </c>
    </row>
    <row r="484" spans="1:18" ht="15.75" customHeight="1" x14ac:dyDescent="0.2">
      <c r="A484" t="s">
        <v>1054</v>
      </c>
      <c r="B484">
        <v>314894</v>
      </c>
      <c r="C484" t="s">
        <v>1055</v>
      </c>
      <c r="D484">
        <v>751158319736</v>
      </c>
      <c r="E484" t="s">
        <v>64</v>
      </c>
      <c r="F484" t="s">
        <v>177</v>
      </c>
      <c r="G484" t="s">
        <v>178</v>
      </c>
      <c r="H484" t="s">
        <v>67</v>
      </c>
      <c r="I484" t="s">
        <v>48</v>
      </c>
      <c r="J484">
        <v>4495.21</v>
      </c>
      <c r="K484" t="s">
        <v>32</v>
      </c>
      <c r="L484" s="2">
        <v>45185</v>
      </c>
      <c r="M484" t="s">
        <v>24</v>
      </c>
      <c r="N484">
        <v>275353.39</v>
      </c>
      <c r="O484" t="s">
        <v>25</v>
      </c>
      <c r="P484">
        <f>YEAR('Main DataSet'!$L484)</f>
        <v>2023</v>
      </c>
      <c r="Q484">
        <f>MONTH('Main DataSet'!$L484)</f>
        <v>9</v>
      </c>
      <c r="R484" t="str">
        <f>TEXT('Main DataSet'!$L484,"MM-YYYY")</f>
        <v>09-2023</v>
      </c>
    </row>
    <row r="485" spans="1:18" ht="15.75" customHeight="1" x14ac:dyDescent="0.2">
      <c r="A485" t="s">
        <v>1056</v>
      </c>
      <c r="B485">
        <v>779817</v>
      </c>
      <c r="C485" t="s">
        <v>1057</v>
      </c>
      <c r="D485">
        <v>549818142528</v>
      </c>
      <c r="E485" t="s">
        <v>18</v>
      </c>
      <c r="F485" t="s">
        <v>46</v>
      </c>
      <c r="G485" t="s">
        <v>47</v>
      </c>
      <c r="H485" t="s">
        <v>21</v>
      </c>
      <c r="I485" t="s">
        <v>22</v>
      </c>
      <c r="J485">
        <v>125743.7</v>
      </c>
      <c r="K485" t="s">
        <v>39</v>
      </c>
      <c r="L485" s="2">
        <v>45624</v>
      </c>
      <c r="M485" t="s">
        <v>50</v>
      </c>
      <c r="N485">
        <v>1452499.81</v>
      </c>
      <c r="O485" t="s">
        <v>25</v>
      </c>
      <c r="P485">
        <f>YEAR('Main DataSet'!$L485)</f>
        <v>2024</v>
      </c>
      <c r="Q485">
        <f>MONTH('Main DataSet'!$L485)</f>
        <v>11</v>
      </c>
      <c r="R485" t="str">
        <f>TEXT('Main DataSet'!$L485,"MM-YYYY")</f>
        <v>11-2024</v>
      </c>
    </row>
    <row r="486" spans="1:18" ht="15.75" customHeight="1" x14ac:dyDescent="0.2">
      <c r="A486" t="s">
        <v>1058</v>
      </c>
      <c r="B486">
        <v>682271</v>
      </c>
      <c r="C486" t="s">
        <v>1059</v>
      </c>
      <c r="D486">
        <v>911510411130</v>
      </c>
      <c r="E486" t="s">
        <v>18</v>
      </c>
      <c r="F486" t="s">
        <v>156</v>
      </c>
      <c r="G486" t="s">
        <v>157</v>
      </c>
      <c r="H486" t="s">
        <v>70</v>
      </c>
      <c r="I486" t="s">
        <v>22</v>
      </c>
      <c r="J486">
        <v>420581.41</v>
      </c>
      <c r="K486" t="s">
        <v>98</v>
      </c>
      <c r="L486" s="2">
        <v>45699</v>
      </c>
      <c r="M486" t="s">
        <v>24</v>
      </c>
      <c r="N486">
        <v>893133.07</v>
      </c>
      <c r="O486" t="s">
        <v>25</v>
      </c>
      <c r="P486">
        <f>YEAR('Main DataSet'!$L486)</f>
        <v>2025</v>
      </c>
      <c r="Q486">
        <f>MONTH('Main DataSet'!$L486)</f>
        <v>2</v>
      </c>
      <c r="R486" t="str">
        <f>TEXT('Main DataSet'!$L486,"MM-YYYY")</f>
        <v>02-2025</v>
      </c>
    </row>
    <row r="487" spans="1:18" ht="15.75" customHeight="1" x14ac:dyDescent="0.2">
      <c r="A487" t="s">
        <v>1060</v>
      </c>
      <c r="B487">
        <v>132455</v>
      </c>
      <c r="C487" t="s">
        <v>1061</v>
      </c>
      <c r="D487">
        <v>378333556205</v>
      </c>
      <c r="E487" t="s">
        <v>91</v>
      </c>
      <c r="F487" t="s">
        <v>162</v>
      </c>
      <c r="G487" t="s">
        <v>163</v>
      </c>
      <c r="H487" t="s">
        <v>70</v>
      </c>
      <c r="I487" t="s">
        <v>38</v>
      </c>
      <c r="J487">
        <v>49848.98</v>
      </c>
      <c r="K487" t="s">
        <v>49</v>
      </c>
      <c r="L487" s="2">
        <v>45438</v>
      </c>
      <c r="M487" t="s">
        <v>24</v>
      </c>
      <c r="N487">
        <v>1288147.47</v>
      </c>
      <c r="O487" t="s">
        <v>25</v>
      </c>
      <c r="P487">
        <f>YEAR('Main DataSet'!$L487)</f>
        <v>2024</v>
      </c>
      <c r="Q487">
        <f>MONTH('Main DataSet'!$L487)</f>
        <v>5</v>
      </c>
      <c r="R487" t="str">
        <f>TEXT('Main DataSet'!$L487,"MM-YYYY")</f>
        <v>05-2024</v>
      </c>
    </row>
    <row r="488" spans="1:18" ht="15.75" customHeight="1" x14ac:dyDescent="0.2">
      <c r="A488" t="s">
        <v>1062</v>
      </c>
      <c r="B488">
        <v>568353</v>
      </c>
      <c r="C488" t="s">
        <v>1063</v>
      </c>
      <c r="D488">
        <v>143654336794</v>
      </c>
      <c r="E488" t="s">
        <v>64</v>
      </c>
      <c r="F488" t="s">
        <v>146</v>
      </c>
      <c r="G488" t="s">
        <v>147</v>
      </c>
      <c r="H488" t="s">
        <v>31</v>
      </c>
      <c r="I488" t="s">
        <v>22</v>
      </c>
      <c r="J488">
        <v>197544.78</v>
      </c>
      <c r="K488" t="s">
        <v>49</v>
      </c>
      <c r="L488" s="2">
        <v>45207</v>
      </c>
      <c r="M488" t="s">
        <v>168</v>
      </c>
      <c r="N488">
        <v>868558.72</v>
      </c>
      <c r="O488" t="s">
        <v>25</v>
      </c>
      <c r="P488">
        <f>YEAR('Main DataSet'!$L488)</f>
        <v>2023</v>
      </c>
      <c r="Q488">
        <f>MONTH('Main DataSet'!$L488)</f>
        <v>10</v>
      </c>
      <c r="R488" t="str">
        <f>TEXT('Main DataSet'!$L488,"MM-YYYY")</f>
        <v>10-2023</v>
      </c>
    </row>
    <row r="489" spans="1:18" ht="15.75" customHeight="1" x14ac:dyDescent="0.2">
      <c r="A489" t="s">
        <v>1064</v>
      </c>
      <c r="B489">
        <v>802444</v>
      </c>
      <c r="C489" t="s">
        <v>1065</v>
      </c>
      <c r="D489">
        <v>582762750258</v>
      </c>
      <c r="E489" t="s">
        <v>28</v>
      </c>
      <c r="F489" t="s">
        <v>192</v>
      </c>
      <c r="G489" t="s">
        <v>193</v>
      </c>
      <c r="H489" t="s">
        <v>67</v>
      </c>
      <c r="I489" t="s">
        <v>38</v>
      </c>
      <c r="J489">
        <v>141177.64000000001</v>
      </c>
      <c r="K489" t="s">
        <v>23</v>
      </c>
      <c r="L489" s="2">
        <v>45587</v>
      </c>
      <c r="M489" t="s">
        <v>24</v>
      </c>
      <c r="N489">
        <v>1843493.98</v>
      </c>
      <c r="O489" t="s">
        <v>25</v>
      </c>
      <c r="P489">
        <f>YEAR('Main DataSet'!$L489)</f>
        <v>2024</v>
      </c>
      <c r="Q489">
        <f>MONTH('Main DataSet'!$L489)</f>
        <v>10</v>
      </c>
      <c r="R489" t="str">
        <f>TEXT('Main DataSet'!$L489,"MM-YYYY")</f>
        <v>10-2024</v>
      </c>
    </row>
    <row r="490" spans="1:18" ht="15.75" customHeight="1" x14ac:dyDescent="0.2">
      <c r="A490" t="s">
        <v>1066</v>
      </c>
      <c r="B490">
        <v>978548</v>
      </c>
      <c r="C490" t="s">
        <v>1067</v>
      </c>
      <c r="D490">
        <v>331032149981</v>
      </c>
      <c r="E490" t="s">
        <v>64</v>
      </c>
      <c r="F490" t="s">
        <v>83</v>
      </c>
      <c r="G490" t="s">
        <v>84</v>
      </c>
      <c r="H490" t="s">
        <v>67</v>
      </c>
      <c r="I490" t="s">
        <v>22</v>
      </c>
      <c r="J490">
        <v>50422.44</v>
      </c>
      <c r="K490" t="s">
        <v>98</v>
      </c>
      <c r="L490" s="2">
        <v>45670</v>
      </c>
      <c r="M490" t="s">
        <v>24</v>
      </c>
      <c r="N490">
        <v>322201.67</v>
      </c>
      <c r="O490" t="s">
        <v>25</v>
      </c>
      <c r="P490">
        <f>YEAR('Main DataSet'!$L490)</f>
        <v>2025</v>
      </c>
      <c r="Q490">
        <f>MONTH('Main DataSet'!$L490)</f>
        <v>1</v>
      </c>
      <c r="R490" t="str">
        <f>TEXT('Main DataSet'!$L490,"MM-YYYY")</f>
        <v>01-2025</v>
      </c>
    </row>
    <row r="491" spans="1:18" ht="15.75" customHeight="1" x14ac:dyDescent="0.2">
      <c r="A491" t="s">
        <v>1068</v>
      </c>
      <c r="B491">
        <v>851257</v>
      </c>
      <c r="C491" t="s">
        <v>1069</v>
      </c>
      <c r="D491">
        <v>990997552935</v>
      </c>
      <c r="E491" t="s">
        <v>35</v>
      </c>
      <c r="F491" t="s">
        <v>73</v>
      </c>
      <c r="G491" t="s">
        <v>74</v>
      </c>
      <c r="H491" t="s">
        <v>70</v>
      </c>
      <c r="I491" t="s">
        <v>53</v>
      </c>
      <c r="J491">
        <v>342132.86</v>
      </c>
      <c r="K491" t="s">
        <v>23</v>
      </c>
      <c r="L491" s="2">
        <v>45164</v>
      </c>
      <c r="M491" t="s">
        <v>24</v>
      </c>
      <c r="N491">
        <v>884872.35</v>
      </c>
      <c r="O491" t="s">
        <v>25</v>
      </c>
      <c r="P491">
        <f>YEAR('Main DataSet'!$L491)</f>
        <v>2023</v>
      </c>
      <c r="Q491">
        <f>MONTH('Main DataSet'!$L491)</f>
        <v>8</v>
      </c>
      <c r="R491" t="str">
        <f>TEXT('Main DataSet'!$L491,"MM-YYYY")</f>
        <v>08-2023</v>
      </c>
    </row>
    <row r="492" spans="1:18" ht="15.75" customHeight="1" x14ac:dyDescent="0.2">
      <c r="A492" t="s">
        <v>1070</v>
      </c>
      <c r="B492">
        <v>795373</v>
      </c>
      <c r="C492" t="s">
        <v>1071</v>
      </c>
      <c r="D492">
        <v>289850951999</v>
      </c>
      <c r="E492" t="s">
        <v>28</v>
      </c>
      <c r="F492" t="s">
        <v>79</v>
      </c>
      <c r="G492" t="s">
        <v>80</v>
      </c>
      <c r="H492" t="s">
        <v>31</v>
      </c>
      <c r="I492" t="s">
        <v>48</v>
      </c>
      <c r="J492">
        <v>232001.45</v>
      </c>
      <c r="K492" t="s">
        <v>49</v>
      </c>
      <c r="L492" s="2">
        <v>45680</v>
      </c>
      <c r="M492" t="s">
        <v>24</v>
      </c>
      <c r="N492">
        <v>669999.41</v>
      </c>
      <c r="O492" t="s">
        <v>25</v>
      </c>
      <c r="P492">
        <f>YEAR('Main DataSet'!$L492)</f>
        <v>2025</v>
      </c>
      <c r="Q492">
        <f>MONTH('Main DataSet'!$L492)</f>
        <v>1</v>
      </c>
      <c r="R492" t="str">
        <f>TEXT('Main DataSet'!$L492,"MM-YYYY")</f>
        <v>01-2025</v>
      </c>
    </row>
    <row r="493" spans="1:18" ht="15.75" customHeight="1" x14ac:dyDescent="0.2">
      <c r="A493" t="s">
        <v>1072</v>
      </c>
      <c r="B493">
        <v>117914</v>
      </c>
      <c r="C493" t="s">
        <v>1073</v>
      </c>
      <c r="D493">
        <v>764425244728</v>
      </c>
      <c r="E493" t="s">
        <v>18</v>
      </c>
      <c r="F493" t="s">
        <v>56</v>
      </c>
      <c r="G493" t="s">
        <v>57</v>
      </c>
      <c r="H493" t="s">
        <v>31</v>
      </c>
      <c r="I493" t="s">
        <v>38</v>
      </c>
      <c r="J493">
        <v>109038.03</v>
      </c>
      <c r="K493" t="s">
        <v>98</v>
      </c>
      <c r="L493" s="2">
        <v>45303</v>
      </c>
      <c r="M493" t="s">
        <v>24</v>
      </c>
      <c r="N493">
        <v>1219596.98</v>
      </c>
      <c r="O493" t="s">
        <v>25</v>
      </c>
      <c r="P493">
        <f>YEAR('Main DataSet'!$L493)</f>
        <v>2024</v>
      </c>
      <c r="Q493">
        <f>MONTH('Main DataSet'!$L493)</f>
        <v>1</v>
      </c>
      <c r="R493" t="str">
        <f>TEXT('Main DataSet'!$L493,"MM-YYYY")</f>
        <v>01-2024</v>
      </c>
    </row>
    <row r="494" spans="1:18" ht="15.75" customHeight="1" x14ac:dyDescent="0.2">
      <c r="A494" t="s">
        <v>1074</v>
      </c>
      <c r="B494">
        <v>648879</v>
      </c>
      <c r="C494" t="s">
        <v>1075</v>
      </c>
      <c r="D494">
        <v>504085367461</v>
      </c>
      <c r="E494" t="s">
        <v>91</v>
      </c>
      <c r="F494" t="s">
        <v>92</v>
      </c>
      <c r="G494" t="s">
        <v>93</v>
      </c>
      <c r="H494" t="s">
        <v>67</v>
      </c>
      <c r="I494" t="s">
        <v>53</v>
      </c>
      <c r="J494">
        <v>475452.83</v>
      </c>
      <c r="K494" t="s">
        <v>39</v>
      </c>
      <c r="L494" s="2">
        <v>45256</v>
      </c>
      <c r="M494" t="s">
        <v>113</v>
      </c>
      <c r="N494">
        <v>917029.60000000009</v>
      </c>
      <c r="O494" t="s">
        <v>25</v>
      </c>
      <c r="P494">
        <f>YEAR('Main DataSet'!$L494)</f>
        <v>2023</v>
      </c>
      <c r="Q494">
        <f>MONTH('Main DataSet'!$L494)</f>
        <v>11</v>
      </c>
      <c r="R494" t="str">
        <f>TEXT('Main DataSet'!$L494,"MM-YYYY")</f>
        <v>11-2023</v>
      </c>
    </row>
    <row r="495" spans="1:18" ht="15.75" customHeight="1" x14ac:dyDescent="0.2">
      <c r="A495" t="s">
        <v>1076</v>
      </c>
      <c r="B495">
        <v>128077</v>
      </c>
      <c r="C495" t="s">
        <v>1077</v>
      </c>
      <c r="D495">
        <v>252386211751</v>
      </c>
      <c r="E495" t="s">
        <v>28</v>
      </c>
      <c r="F495" t="s">
        <v>192</v>
      </c>
      <c r="G495" t="s">
        <v>193</v>
      </c>
      <c r="H495" t="s">
        <v>70</v>
      </c>
      <c r="I495" t="s">
        <v>48</v>
      </c>
      <c r="J495">
        <v>281600.58</v>
      </c>
      <c r="K495" t="s">
        <v>23</v>
      </c>
      <c r="L495" s="2">
        <v>45150</v>
      </c>
      <c r="M495" t="s">
        <v>24</v>
      </c>
      <c r="N495">
        <v>2051395.59</v>
      </c>
      <c r="O495" t="s">
        <v>25</v>
      </c>
      <c r="P495">
        <f>YEAR('Main DataSet'!$L495)</f>
        <v>2023</v>
      </c>
      <c r="Q495">
        <f>MONTH('Main DataSet'!$L495)</f>
        <v>8</v>
      </c>
      <c r="R495" t="str">
        <f>TEXT('Main DataSet'!$L495,"MM-YYYY")</f>
        <v>08-2023</v>
      </c>
    </row>
    <row r="496" spans="1:18" ht="15.75" customHeight="1" x14ac:dyDescent="0.2">
      <c r="A496" t="s">
        <v>1078</v>
      </c>
      <c r="B496">
        <v>882387</v>
      </c>
      <c r="C496" t="s">
        <v>1079</v>
      </c>
      <c r="D496">
        <v>732722911089</v>
      </c>
      <c r="E496" t="s">
        <v>35</v>
      </c>
      <c r="F496" t="s">
        <v>42</v>
      </c>
      <c r="G496" t="s">
        <v>43</v>
      </c>
      <c r="H496" t="s">
        <v>21</v>
      </c>
      <c r="I496" t="s">
        <v>48</v>
      </c>
      <c r="J496">
        <v>44124.36</v>
      </c>
      <c r="K496" t="s">
        <v>98</v>
      </c>
      <c r="L496" s="2">
        <v>45597</v>
      </c>
      <c r="M496" t="s">
        <v>168</v>
      </c>
      <c r="N496">
        <v>1627631.54</v>
      </c>
      <c r="O496" t="s">
        <v>25</v>
      </c>
      <c r="P496">
        <f>YEAR('Main DataSet'!$L496)</f>
        <v>2024</v>
      </c>
      <c r="Q496">
        <f>MONTH('Main DataSet'!$L496)</f>
        <v>11</v>
      </c>
      <c r="R496" t="str">
        <f>TEXT('Main DataSet'!$L496,"MM-YYYY")</f>
        <v>11-2024</v>
      </c>
    </row>
    <row r="497" spans="1:18" ht="15.75" customHeight="1" x14ac:dyDescent="0.2">
      <c r="A497" t="s">
        <v>1080</v>
      </c>
      <c r="B497">
        <v>372576</v>
      </c>
      <c r="C497" t="s">
        <v>1081</v>
      </c>
      <c r="D497">
        <v>450052315274</v>
      </c>
      <c r="E497" t="s">
        <v>64</v>
      </c>
      <c r="F497" t="s">
        <v>83</v>
      </c>
      <c r="G497" t="s">
        <v>84</v>
      </c>
      <c r="H497" t="s">
        <v>31</v>
      </c>
      <c r="I497" t="s">
        <v>48</v>
      </c>
      <c r="J497">
        <v>16012.31</v>
      </c>
      <c r="K497" t="s">
        <v>32</v>
      </c>
      <c r="L497" s="2">
        <v>45422</v>
      </c>
      <c r="M497" t="s">
        <v>113</v>
      </c>
      <c r="N497">
        <v>1116498.8999999999</v>
      </c>
      <c r="O497" t="s">
        <v>25</v>
      </c>
      <c r="P497">
        <f>YEAR('Main DataSet'!$L497)</f>
        <v>2024</v>
      </c>
      <c r="Q497">
        <f>MONTH('Main DataSet'!$L497)</f>
        <v>5</v>
      </c>
      <c r="R497" t="str">
        <f>TEXT('Main DataSet'!$L497,"MM-YYYY")</f>
        <v>05-2024</v>
      </c>
    </row>
    <row r="498" spans="1:18" ht="15.75" customHeight="1" x14ac:dyDescent="0.2">
      <c r="A498" t="s">
        <v>1082</v>
      </c>
      <c r="B498">
        <v>973339</v>
      </c>
      <c r="C498" t="s">
        <v>1083</v>
      </c>
      <c r="D498">
        <v>617919454254</v>
      </c>
      <c r="E498" t="s">
        <v>35</v>
      </c>
      <c r="F498" t="s">
        <v>60</v>
      </c>
      <c r="G498" t="s">
        <v>61</v>
      </c>
      <c r="H498" t="s">
        <v>31</v>
      </c>
      <c r="I498" t="s">
        <v>38</v>
      </c>
      <c r="J498">
        <v>129630.37</v>
      </c>
      <c r="K498" t="s">
        <v>49</v>
      </c>
      <c r="L498" s="2">
        <v>45323</v>
      </c>
      <c r="M498" t="s">
        <v>24</v>
      </c>
      <c r="N498">
        <v>1652562.49</v>
      </c>
      <c r="O498" t="s">
        <v>25</v>
      </c>
      <c r="P498">
        <f>YEAR('Main DataSet'!$L498)</f>
        <v>2024</v>
      </c>
      <c r="Q498">
        <f>MONTH('Main DataSet'!$L498)</f>
        <v>2</v>
      </c>
      <c r="R498" t="str">
        <f>TEXT('Main DataSet'!$L498,"MM-YYYY")</f>
        <v>02-2024</v>
      </c>
    </row>
    <row r="499" spans="1:18" ht="15.75" customHeight="1" x14ac:dyDescent="0.2">
      <c r="A499" t="s">
        <v>1084</v>
      </c>
      <c r="B499">
        <v>227576</v>
      </c>
      <c r="C499" t="s">
        <v>1085</v>
      </c>
      <c r="D499">
        <v>369866165241</v>
      </c>
      <c r="E499" t="s">
        <v>64</v>
      </c>
      <c r="F499" t="s">
        <v>65</v>
      </c>
      <c r="G499" t="s">
        <v>66</v>
      </c>
      <c r="H499" t="s">
        <v>21</v>
      </c>
      <c r="I499" t="s">
        <v>22</v>
      </c>
      <c r="J499">
        <v>307632.5</v>
      </c>
      <c r="K499" t="s">
        <v>98</v>
      </c>
      <c r="L499" s="2">
        <v>45407</v>
      </c>
      <c r="M499" t="s">
        <v>24</v>
      </c>
      <c r="N499">
        <v>448240.99</v>
      </c>
      <c r="O499" t="s">
        <v>25</v>
      </c>
      <c r="P499">
        <f>YEAR('Main DataSet'!$L499)</f>
        <v>2024</v>
      </c>
      <c r="Q499">
        <f>MONTH('Main DataSet'!$L499)</f>
        <v>4</v>
      </c>
      <c r="R499" t="str">
        <f>TEXT('Main DataSet'!$L499,"MM-YYYY")</f>
        <v>04-2024</v>
      </c>
    </row>
    <row r="500" spans="1:18" ht="15.75" customHeight="1" x14ac:dyDescent="0.2">
      <c r="A500" t="s">
        <v>1086</v>
      </c>
      <c r="B500">
        <v>209976</v>
      </c>
      <c r="C500" t="s">
        <v>1087</v>
      </c>
      <c r="D500">
        <v>238320682537</v>
      </c>
      <c r="E500" t="s">
        <v>64</v>
      </c>
      <c r="F500" t="s">
        <v>83</v>
      </c>
      <c r="G500" t="s">
        <v>84</v>
      </c>
      <c r="H500" t="s">
        <v>67</v>
      </c>
      <c r="I500" t="s">
        <v>53</v>
      </c>
      <c r="J500">
        <v>345920.42</v>
      </c>
      <c r="K500" t="s">
        <v>49</v>
      </c>
      <c r="L500" s="2">
        <v>45535</v>
      </c>
      <c r="M500" t="s">
        <v>24</v>
      </c>
      <c r="N500">
        <v>1012522.46</v>
      </c>
      <c r="O500" t="s">
        <v>25</v>
      </c>
      <c r="P500">
        <f>YEAR('Main DataSet'!$L500)</f>
        <v>2024</v>
      </c>
      <c r="Q500">
        <f>MONTH('Main DataSet'!$L500)</f>
        <v>8</v>
      </c>
      <c r="R500" t="str">
        <f>TEXT('Main DataSet'!$L500,"MM-YYYY")</f>
        <v>08-2024</v>
      </c>
    </row>
    <row r="501" spans="1:18" ht="15.75" customHeight="1" x14ac:dyDescent="0.2">
      <c r="A501" t="s">
        <v>1088</v>
      </c>
      <c r="B501">
        <v>429704</v>
      </c>
      <c r="C501" t="s">
        <v>1089</v>
      </c>
      <c r="D501">
        <v>127631697094</v>
      </c>
      <c r="E501" t="s">
        <v>18</v>
      </c>
      <c r="F501" t="s">
        <v>156</v>
      </c>
      <c r="G501" t="s">
        <v>157</v>
      </c>
      <c r="H501" t="s">
        <v>67</v>
      </c>
      <c r="I501" t="s">
        <v>48</v>
      </c>
      <c r="J501">
        <v>140084.76999999999</v>
      </c>
      <c r="K501" t="s">
        <v>39</v>
      </c>
      <c r="L501" s="2">
        <v>45842</v>
      </c>
      <c r="M501" t="s">
        <v>24</v>
      </c>
      <c r="N501">
        <v>1217164.3999999999</v>
      </c>
      <c r="O501" t="s">
        <v>25</v>
      </c>
      <c r="P501">
        <f>YEAR('Main DataSet'!$L501)</f>
        <v>2025</v>
      </c>
      <c r="Q501">
        <f>MONTH('Main DataSet'!$L501)</f>
        <v>7</v>
      </c>
      <c r="R501" t="str">
        <f>TEXT('Main DataSet'!$L501,"MM-YYYY")</f>
        <v>07-2025</v>
      </c>
    </row>
    <row r="502" spans="1:18" ht="15.75" customHeight="1" x14ac:dyDescent="0.2"/>
    <row r="503" spans="1:18" ht="15.75" customHeight="1" x14ac:dyDescent="0.2"/>
    <row r="504" spans="1:18" ht="15.75" customHeight="1" x14ac:dyDescent="0.2"/>
    <row r="505" spans="1:18" ht="15.75" customHeight="1" x14ac:dyDescent="0.2"/>
    <row r="506" spans="1:18" ht="15.75" customHeight="1" x14ac:dyDescent="0.2"/>
    <row r="507" spans="1:18" ht="15.75" customHeight="1" x14ac:dyDescent="0.2"/>
    <row r="508" spans="1:18" ht="15.75" customHeight="1" x14ac:dyDescent="0.2"/>
    <row r="509" spans="1:18" ht="15.75" customHeight="1" x14ac:dyDescent="0.2"/>
    <row r="510" spans="1:18" ht="15.75" customHeight="1" x14ac:dyDescent="0.2"/>
    <row r="511" spans="1:18" ht="15.75" customHeight="1" x14ac:dyDescent="0.2"/>
    <row r="512" spans="1:18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DataSet</vt:lpstr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bhavani chary chityala</cp:lastModifiedBy>
  <dcterms:created xsi:type="dcterms:W3CDTF">2025-07-11T03:45:20Z</dcterms:created>
  <dcterms:modified xsi:type="dcterms:W3CDTF">2026-02-09T11:38:20Z</dcterms:modified>
</cp:coreProperties>
</file>