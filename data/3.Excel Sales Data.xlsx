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3"/>
  <workbookPr/>
  <mc:AlternateContent xmlns:mc="http://schemas.openxmlformats.org/markup-compatibility/2006">
    <mc:Choice Requires="x15">
      <x15ac:absPath xmlns:x15ac="http://schemas.microsoft.com/office/spreadsheetml/2010/11/ac" url="/Users/bhargavachary/0.Innomatics/3.Adv Excel/"/>
    </mc:Choice>
  </mc:AlternateContent>
  <xr:revisionPtr revIDLastSave="0" documentId="13_ncr:1_{8A62B38E-944A-B34B-B46A-AD195F4371E1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Sales_Data" sheetId="1" r:id="rId1"/>
  </sheets>
  <definedNames>
    <definedName name="_xlnm._FilterDatabase" localSheetId="0" hidden="1">Sales_Data!$A$1:$M$51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</calcChain>
</file>

<file path=xl/sharedStrings.xml><?xml version="1.0" encoding="utf-8"?>
<sst xmlns="http://schemas.openxmlformats.org/spreadsheetml/2006/main" count="313" uniqueCount="129">
  <si>
    <t>Order ID</t>
  </si>
  <si>
    <t>Order Date</t>
  </si>
  <si>
    <t>Customer Name</t>
  </si>
  <si>
    <t>City</t>
  </si>
  <si>
    <t>Product Name</t>
  </si>
  <si>
    <t>Unit Price</t>
  </si>
  <si>
    <t>Quantity</t>
  </si>
  <si>
    <t>Payment Mode</t>
  </si>
  <si>
    <t>Order Status</t>
  </si>
  <si>
    <t>Discount %</t>
  </si>
  <si>
    <t>Profit</t>
  </si>
  <si>
    <t>Rahul Sharma</t>
  </si>
  <si>
    <t>Hyderabad</t>
  </si>
  <si>
    <t>Electronics</t>
  </si>
  <si>
    <t>Wireless Mouse</t>
  </si>
  <si>
    <t>UPI</t>
  </si>
  <si>
    <t>Delivered</t>
  </si>
  <si>
    <t>Pooja Verma</t>
  </si>
  <si>
    <t>Bangalore</t>
  </si>
  <si>
    <t>Keyboard</t>
  </si>
  <si>
    <t>COD</t>
  </si>
  <si>
    <t>Amit Singh</t>
  </si>
  <si>
    <t>Delhi</t>
  </si>
  <si>
    <t>Fashion</t>
  </si>
  <si>
    <t>Sports Shoes</t>
  </si>
  <si>
    <t>Card</t>
  </si>
  <si>
    <t>Komal Jain</t>
  </si>
  <si>
    <t>Mumbai</t>
  </si>
  <si>
    <t>Home Decor</t>
  </si>
  <si>
    <t>Table Lamp</t>
  </si>
  <si>
    <t>Suresh Rao</t>
  </si>
  <si>
    <t>Pune</t>
  </si>
  <si>
    <t>Earbuds</t>
  </si>
  <si>
    <t>Returned</t>
  </si>
  <si>
    <t>Riya Gupta</t>
  </si>
  <si>
    <t>Kolkata</t>
  </si>
  <si>
    <t>Power Bank</t>
  </si>
  <si>
    <t>Karan Mehta</t>
  </si>
  <si>
    <t>Chennai</t>
  </si>
  <si>
    <t>Men T-Shirt</t>
  </si>
  <si>
    <t>Deepak Kumar</t>
  </si>
  <si>
    <t>Wall Clock</t>
  </si>
  <si>
    <t>Nikita Sharma</t>
  </si>
  <si>
    <t>Handbag</t>
  </si>
  <si>
    <t>Vishal Singh</t>
  </si>
  <si>
    <t>Smartwatch</t>
  </si>
  <si>
    <t>Cancelled</t>
  </si>
  <si>
    <t>Harsh Patel</t>
  </si>
  <si>
    <t>Bedside Lamp</t>
  </si>
  <si>
    <t>Aisha Khan</t>
  </si>
  <si>
    <t>USB Cable</t>
  </si>
  <si>
    <t>Anjali Rao</t>
  </si>
  <si>
    <t>Kurti</t>
  </si>
  <si>
    <t>Parth Shah</t>
  </si>
  <si>
    <t>Bluetooth Speaker</t>
  </si>
  <si>
    <t>Mohit Jain</t>
  </si>
  <si>
    <t>Flower Vase</t>
  </si>
  <si>
    <t>Kritika Sen</t>
  </si>
  <si>
    <t>Saree</t>
  </si>
  <si>
    <t>Sumit Roy</t>
  </si>
  <si>
    <t>Phone Cover</t>
  </si>
  <si>
    <t>Priya Mehta</t>
  </si>
  <si>
    <t>Webcam</t>
  </si>
  <si>
    <t>Rohit Sharma</t>
  </si>
  <si>
    <t>Jeans</t>
  </si>
  <si>
    <t>Nisha Agarwal</t>
  </si>
  <si>
    <t>Candle Set</t>
  </si>
  <si>
    <t>Arjun Gupta</t>
  </si>
  <si>
    <t>Earphones</t>
  </si>
  <si>
    <t>Mansi Shah</t>
  </si>
  <si>
    <t>Top</t>
  </si>
  <si>
    <t>Kunal Verma</t>
  </si>
  <si>
    <t>Curtains</t>
  </si>
  <si>
    <t>Ankit Patel</t>
  </si>
  <si>
    <t>Jacket</t>
  </si>
  <si>
    <t>Sweta Singh</t>
  </si>
  <si>
    <t>Trimmer</t>
  </si>
  <si>
    <t>Vikas Rao</t>
  </si>
  <si>
    <t>Charger</t>
  </si>
  <si>
    <t>Divya Nair</t>
  </si>
  <si>
    <t>Earrings</t>
  </si>
  <si>
    <t>Akash Jain</t>
  </si>
  <si>
    <t>Cushion Cover</t>
  </si>
  <si>
    <t>Megha Sharma</t>
  </si>
  <si>
    <t>Monitor</t>
  </si>
  <si>
    <t>Rajeev Kumar</t>
  </si>
  <si>
    <t>Router</t>
  </si>
  <si>
    <t>Shruti Singh</t>
  </si>
  <si>
    <t>Sandals</t>
  </si>
  <si>
    <t>Harish Kumar</t>
  </si>
  <si>
    <t>Doormat</t>
  </si>
  <si>
    <t>Roshni Patel</t>
  </si>
  <si>
    <t>LED Bulb</t>
  </si>
  <si>
    <t>Ananya Mehra</t>
  </si>
  <si>
    <t>Shirt</t>
  </si>
  <si>
    <t>Samir Gupta</t>
  </si>
  <si>
    <t>Showpiece</t>
  </si>
  <si>
    <t>Kavya Sharma</t>
  </si>
  <si>
    <t>Printer</t>
  </si>
  <si>
    <t>Nitin Rao</t>
  </si>
  <si>
    <t>Shorts</t>
  </si>
  <si>
    <t>Muskan Jain</t>
  </si>
  <si>
    <t>Table Mat</t>
  </si>
  <si>
    <t>Shivam Singh</t>
  </si>
  <si>
    <t>Tablet</t>
  </si>
  <si>
    <t>Aryan Patel</t>
  </si>
  <si>
    <t>Watch</t>
  </si>
  <si>
    <t>Reema Gupta</t>
  </si>
  <si>
    <t>Plant Pot</t>
  </si>
  <si>
    <t>Sachin Verma</t>
  </si>
  <si>
    <t>Headphones</t>
  </si>
  <si>
    <t>Naina Shah</t>
  </si>
  <si>
    <t>Scarf</t>
  </si>
  <si>
    <t>Manish Kumar</t>
  </si>
  <si>
    <t>Photo Frame</t>
  </si>
  <si>
    <t>Neha Singh</t>
  </si>
  <si>
    <t>Laptop Stand</t>
  </si>
  <si>
    <t>Aayush Jain</t>
  </si>
  <si>
    <t>Formal Shoes</t>
  </si>
  <si>
    <t>Ritika Roy</t>
  </si>
  <si>
    <t>LED Strip</t>
  </si>
  <si>
    <t>Jay Shah</t>
  </si>
  <si>
    <t>Camera</t>
  </si>
  <si>
    <t>Mona Rao</t>
  </si>
  <si>
    <t>Leggings</t>
  </si>
  <si>
    <t>Sunny Kumar</t>
  </si>
  <si>
    <t>Mirror</t>
  </si>
  <si>
    <t>Category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</si>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</sst>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2" borderId="1" xfId="0" applyNumberFormat="1" applyFill="1" applyBorder="1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/>
    <xf numFmtId="0" fontId="2" fillId="3" borderId="0" xfId="0" applyFont="1" applyFill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5C84FF"/>
      <color rgb="FFF8BA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853BF1-B54E-F44A-89FA-93720CD386CF}" name="Table1" displayName="Table1" ref="A1:M51" totalsRowShown="0" headerRowDxfId="15" dataDxfId="14" tableBorderDxfId="13">
  <autoFilter ref="A1:M51" xr:uid="{7C853BF1-B54E-F44A-89FA-93720CD386CF}"/>
  <tableColumns count="13">
    <tableColumn id="1" xr3:uid="{C9957444-DD2B-3940-907F-7F2E66346615}" name="Order ID" dataDxfId="12"/>
    <tableColumn id="2" xr3:uid="{42D3551C-708D-2042-B220-ABBF2EAE8E3B}" name="Order Date" dataDxfId="11"/>
    <tableColumn id="3" xr3:uid="{C5E33AFB-D892-D74C-8835-A542E50E9089}" name="Customer Name" dataDxfId="10"/>
    <tableColumn id="4" xr3:uid="{808D6BF4-567A-AB4E-B696-37227DBC5FC3}" name="City" dataDxfId="9"/>
    <tableColumn id="5" xr3:uid="{B4686BE2-C9F1-3146-BAD6-7FA676DF6842}" name="Category" dataDxfId="8"/>
    <tableColumn id="6" xr3:uid="{78667C2D-21ED-6A4D-8815-D297EE72079B}" name="Product Name" dataDxfId="7"/>
    <tableColumn id="7" xr3:uid="{3ED5CD3A-0B47-1A4C-A681-F0BD32B792E0}" name="Order Status" dataDxfId="6"/>
    <tableColumn id="8" xr3:uid="{91C1BB0B-E9D3-A44B-A179-2FB2BEE909F0}" name="Unit Price" dataDxfId="5"/>
    <tableColumn id="9" xr3:uid="{F81A94C6-99CD-C343-BF5A-154DC723B38D}" name="Quantity" dataDxfId="4"/>
    <tableColumn id="10" xr3:uid="{FCBA289B-4D54-1B4A-94D9-1A99CF5C7858}" name="Payment Mode" dataDxfId="3"/>
    <tableColumn id="11" xr3:uid="{18E69B37-6672-1941-8AAA-4614083EA5C1}" name="Discount %" dataDxfId="2"/>
    <tableColumn id="12" xr3:uid="{56FBDE9F-5236-5E4D-B458-F67151B99122}" name="Profit" dataDxfId="1"/>
    <tableColumn id="13" xr3:uid="{6267C8DF-BDC1-EA4D-9930-22A9E4763D8C}" name="Total Sales" dataDxfId="0">
      <calculatedColumnFormula>Sales_Data!$H2*Sales_Data!$I2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M51"/>
  <sheetViews>
    <sheetView tabSelected="1" zoomScale="144" workbookViewId="0">
      <selection activeCell="A8" sqref="A8"/>
    </sheetView>
  </sheetViews>
  <sheetFormatPr baseColWidth="10" defaultColWidth="8.83203125" defaultRowHeight="15" x14ac:dyDescent="0.2"/>
  <cols>
    <col min="1" max="1" width="9.83203125" customWidth="1"/>
    <col min="2" max="2" width="12" customWidth="1"/>
    <col min="3" max="3" width="16" customWidth="1"/>
    <col min="4" max="4" width="9.33203125" bestFit="1" customWidth="1"/>
    <col min="5" max="5" width="10.5" bestFit="1" customWidth="1"/>
    <col min="6" max="6" width="15" bestFit="1" customWidth="1"/>
    <col min="7" max="7" width="13" customWidth="1"/>
    <col min="8" max="8" width="10.6640625" customWidth="1"/>
    <col min="9" max="9" width="9.83203125" customWidth="1"/>
    <col min="10" max="10" width="15.1640625" customWidth="1"/>
    <col min="11" max="11" width="11.5" customWidth="1"/>
    <col min="12" max="12" width="7.5" customWidth="1"/>
    <col min="13" max="13" width="10.5" customWidth="1"/>
  </cols>
  <sheetData>
    <row r="1" spans="1:13" s="1" customForma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127</v>
      </c>
      <c r="F1" s="6" t="s">
        <v>4</v>
      </c>
      <c r="G1" s="6" t="s">
        <v>8</v>
      </c>
      <c r="H1" s="6" t="s">
        <v>5</v>
      </c>
      <c r="I1" s="6" t="s">
        <v>6</v>
      </c>
      <c r="J1" s="6" t="s">
        <v>7</v>
      </c>
      <c r="K1" s="6" t="s">
        <v>9</v>
      </c>
      <c r="L1" s="6" t="s">
        <v>10</v>
      </c>
      <c r="M1" s="6" t="s">
        <v>128</v>
      </c>
    </row>
    <row r="2" spans="1:13" x14ac:dyDescent="0.2">
      <c r="A2" s="3">
        <v>1001</v>
      </c>
      <c r="B2" s="2">
        <v>45294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16</v>
      </c>
      <c r="H2" s="3">
        <v>799</v>
      </c>
      <c r="I2" s="3">
        <v>2</v>
      </c>
      <c r="J2" s="3" t="s">
        <v>15</v>
      </c>
      <c r="K2" s="3">
        <v>5</v>
      </c>
      <c r="L2" s="3">
        <v>350</v>
      </c>
      <c r="M2" s="3">
        <f>Sales_Data!$H2*Sales_Data!$I2</f>
        <v>1598</v>
      </c>
    </row>
    <row r="3" spans="1:13" x14ac:dyDescent="0.2">
      <c r="A3" s="5">
        <v>1002</v>
      </c>
      <c r="B3" s="4">
        <v>45296</v>
      </c>
      <c r="C3" s="5" t="s">
        <v>17</v>
      </c>
      <c r="D3" s="5" t="s">
        <v>18</v>
      </c>
      <c r="E3" s="5" t="s">
        <v>13</v>
      </c>
      <c r="F3" s="5" t="s">
        <v>19</v>
      </c>
      <c r="G3" s="5" t="s">
        <v>16</v>
      </c>
      <c r="H3" s="5">
        <v>1299</v>
      </c>
      <c r="I3" s="5">
        <v>1</v>
      </c>
      <c r="J3" s="5" t="s">
        <v>20</v>
      </c>
      <c r="K3" s="5">
        <v>0</v>
      </c>
      <c r="L3" s="5">
        <v>280</v>
      </c>
      <c r="M3" s="5">
        <f>Sales_Data!$H3*Sales_Data!$I3</f>
        <v>1299</v>
      </c>
    </row>
    <row r="4" spans="1:13" x14ac:dyDescent="0.2">
      <c r="A4" s="3">
        <v>1003</v>
      </c>
      <c r="B4" s="2">
        <v>45297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16</v>
      </c>
      <c r="H4" s="3">
        <v>2499</v>
      </c>
      <c r="I4" s="3">
        <v>1</v>
      </c>
      <c r="J4" s="3" t="s">
        <v>25</v>
      </c>
      <c r="K4" s="3">
        <v>10</v>
      </c>
      <c r="L4" s="3">
        <v>600</v>
      </c>
      <c r="M4" s="3">
        <f>Sales_Data!$H4*Sales_Data!$I4</f>
        <v>2499</v>
      </c>
    </row>
    <row r="5" spans="1:13" x14ac:dyDescent="0.2">
      <c r="A5" s="5">
        <v>1004</v>
      </c>
      <c r="B5" s="4">
        <v>45298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16</v>
      </c>
      <c r="H5" s="5">
        <v>999</v>
      </c>
      <c r="I5" s="5">
        <v>3</v>
      </c>
      <c r="J5" s="5" t="s">
        <v>15</v>
      </c>
      <c r="K5" s="5">
        <v>0</v>
      </c>
      <c r="L5" s="5">
        <v>720</v>
      </c>
      <c r="M5" s="5">
        <f>Sales_Data!$H5*Sales_Data!$I5</f>
        <v>2997</v>
      </c>
    </row>
    <row r="6" spans="1:13" x14ac:dyDescent="0.2">
      <c r="A6" s="3">
        <v>1005</v>
      </c>
      <c r="B6" s="2">
        <v>45299</v>
      </c>
      <c r="C6" s="3" t="s">
        <v>30</v>
      </c>
      <c r="D6" s="3" t="s">
        <v>31</v>
      </c>
      <c r="E6" s="3" t="s">
        <v>13</v>
      </c>
      <c r="F6" s="3" t="s">
        <v>32</v>
      </c>
      <c r="G6" s="3" t="s">
        <v>33</v>
      </c>
      <c r="H6" s="3">
        <v>1499</v>
      </c>
      <c r="I6" s="3">
        <v>1</v>
      </c>
      <c r="J6" s="3" t="s">
        <v>15</v>
      </c>
      <c r="K6" s="3">
        <v>0</v>
      </c>
      <c r="L6" s="3">
        <v>-149</v>
      </c>
      <c r="M6" s="3">
        <f>Sales_Data!$H6*Sales_Data!$I6</f>
        <v>1499</v>
      </c>
    </row>
    <row r="7" spans="1:13" x14ac:dyDescent="0.2">
      <c r="A7" s="5">
        <v>1006</v>
      </c>
      <c r="B7" s="4">
        <v>45300</v>
      </c>
      <c r="C7" s="5" t="s">
        <v>34</v>
      </c>
      <c r="D7" s="5" t="s">
        <v>35</v>
      </c>
      <c r="E7" s="5" t="s">
        <v>13</v>
      </c>
      <c r="F7" s="5" t="s">
        <v>36</v>
      </c>
      <c r="G7" s="5" t="s">
        <v>16</v>
      </c>
      <c r="H7" s="5">
        <v>1099</v>
      </c>
      <c r="I7" s="5">
        <v>2</v>
      </c>
      <c r="J7" s="5" t="s">
        <v>25</v>
      </c>
      <c r="K7" s="5">
        <v>5</v>
      </c>
      <c r="L7" s="5">
        <v>460</v>
      </c>
      <c r="M7" s="5">
        <f>Sales_Data!$H7*Sales_Data!$I7</f>
        <v>2198</v>
      </c>
    </row>
    <row r="8" spans="1:13" x14ac:dyDescent="0.2">
      <c r="A8" s="3">
        <v>1007</v>
      </c>
      <c r="B8" s="2">
        <v>45300</v>
      </c>
      <c r="C8" s="3" t="s">
        <v>37</v>
      </c>
      <c r="D8" s="3" t="s">
        <v>38</v>
      </c>
      <c r="E8" s="3" t="s">
        <v>23</v>
      </c>
      <c r="F8" s="3" t="s">
        <v>39</v>
      </c>
      <c r="G8" s="3" t="s">
        <v>16</v>
      </c>
      <c r="H8" s="3">
        <v>599</v>
      </c>
      <c r="I8" s="3">
        <v>3</v>
      </c>
      <c r="J8" s="3" t="s">
        <v>20</v>
      </c>
      <c r="K8" s="3">
        <v>0</v>
      </c>
      <c r="L8" s="3">
        <v>300</v>
      </c>
      <c r="M8" s="3">
        <f>Sales_Data!$H8*Sales_Data!$I8</f>
        <v>1797</v>
      </c>
    </row>
    <row r="9" spans="1:13" x14ac:dyDescent="0.2">
      <c r="A9" s="5">
        <v>1008</v>
      </c>
      <c r="B9" s="4">
        <v>45301</v>
      </c>
      <c r="C9" s="5" t="s">
        <v>40</v>
      </c>
      <c r="D9" s="5" t="s">
        <v>12</v>
      </c>
      <c r="E9" s="5" t="s">
        <v>28</v>
      </c>
      <c r="F9" s="5" t="s">
        <v>41</v>
      </c>
      <c r="G9" s="5" t="s">
        <v>16</v>
      </c>
      <c r="H9" s="5">
        <v>1299</v>
      </c>
      <c r="I9" s="5">
        <v>1</v>
      </c>
      <c r="J9" s="5" t="s">
        <v>15</v>
      </c>
      <c r="K9" s="5">
        <v>5</v>
      </c>
      <c r="L9" s="5">
        <v>250</v>
      </c>
      <c r="M9" s="5">
        <f>Sales_Data!$H9*Sales_Data!$I9</f>
        <v>1299</v>
      </c>
    </row>
    <row r="10" spans="1:13" x14ac:dyDescent="0.2">
      <c r="A10" s="3">
        <v>1009</v>
      </c>
      <c r="B10" s="2">
        <v>45302</v>
      </c>
      <c r="C10" s="3" t="s">
        <v>42</v>
      </c>
      <c r="D10" s="3" t="s">
        <v>18</v>
      </c>
      <c r="E10" s="3" t="s">
        <v>23</v>
      </c>
      <c r="F10" s="3" t="s">
        <v>43</v>
      </c>
      <c r="G10" s="3" t="s">
        <v>16</v>
      </c>
      <c r="H10" s="3">
        <v>1999</v>
      </c>
      <c r="I10" s="3">
        <v>1</v>
      </c>
      <c r="J10" s="3" t="s">
        <v>25</v>
      </c>
      <c r="K10" s="3">
        <v>8</v>
      </c>
      <c r="L10" s="3">
        <v>450</v>
      </c>
      <c r="M10" s="3">
        <f>Sales_Data!$H10*Sales_Data!$I10</f>
        <v>1999</v>
      </c>
    </row>
    <row r="11" spans="1:13" x14ac:dyDescent="0.2">
      <c r="A11" s="5">
        <v>1010</v>
      </c>
      <c r="B11" s="4">
        <v>45303</v>
      </c>
      <c r="C11" s="5" t="s">
        <v>44</v>
      </c>
      <c r="D11" s="5" t="s">
        <v>27</v>
      </c>
      <c r="E11" s="5" t="s">
        <v>13</v>
      </c>
      <c r="F11" s="5" t="s">
        <v>45</v>
      </c>
      <c r="G11" s="5" t="s">
        <v>46</v>
      </c>
      <c r="H11" s="5">
        <v>2999</v>
      </c>
      <c r="I11" s="5">
        <v>1</v>
      </c>
      <c r="J11" s="5" t="s">
        <v>15</v>
      </c>
      <c r="K11" s="5">
        <v>0</v>
      </c>
      <c r="L11" s="5">
        <v>0</v>
      </c>
      <c r="M11" s="5">
        <f>Sales_Data!$H11*Sales_Data!$I11</f>
        <v>2999</v>
      </c>
    </row>
    <row r="12" spans="1:13" x14ac:dyDescent="0.2">
      <c r="A12" s="3">
        <v>1011</v>
      </c>
      <c r="B12" s="2">
        <v>45304</v>
      </c>
      <c r="C12" s="3" t="s">
        <v>47</v>
      </c>
      <c r="D12" s="3" t="s">
        <v>31</v>
      </c>
      <c r="E12" s="3" t="s">
        <v>28</v>
      </c>
      <c r="F12" s="3" t="s">
        <v>48</v>
      </c>
      <c r="G12" s="3" t="s">
        <v>16</v>
      </c>
      <c r="H12" s="3">
        <v>899</v>
      </c>
      <c r="I12" s="3">
        <v>2</v>
      </c>
      <c r="J12" s="3" t="s">
        <v>20</v>
      </c>
      <c r="K12" s="3">
        <v>0</v>
      </c>
      <c r="L12" s="3">
        <v>380</v>
      </c>
      <c r="M12" s="3">
        <f>Sales_Data!$H12*Sales_Data!$I12</f>
        <v>1798</v>
      </c>
    </row>
    <row r="13" spans="1:13" x14ac:dyDescent="0.2">
      <c r="A13" s="5">
        <v>1012</v>
      </c>
      <c r="B13" s="4">
        <v>45305</v>
      </c>
      <c r="C13" s="5" t="s">
        <v>49</v>
      </c>
      <c r="D13" s="5" t="s">
        <v>22</v>
      </c>
      <c r="E13" s="5" t="s">
        <v>13</v>
      </c>
      <c r="F13" s="5" t="s">
        <v>50</v>
      </c>
      <c r="G13" s="5" t="s">
        <v>16</v>
      </c>
      <c r="H13" s="5">
        <v>299</v>
      </c>
      <c r="I13" s="5">
        <v>4</v>
      </c>
      <c r="J13" s="5" t="s">
        <v>15</v>
      </c>
      <c r="K13" s="5">
        <v>0</v>
      </c>
      <c r="L13" s="5">
        <v>200</v>
      </c>
      <c r="M13" s="5">
        <f>Sales_Data!$H13*Sales_Data!$I13</f>
        <v>1196</v>
      </c>
    </row>
    <row r="14" spans="1:13" x14ac:dyDescent="0.2">
      <c r="A14" s="3">
        <v>1013</v>
      </c>
      <c r="B14" s="2">
        <v>45305</v>
      </c>
      <c r="C14" s="3" t="s">
        <v>51</v>
      </c>
      <c r="D14" s="3" t="s">
        <v>38</v>
      </c>
      <c r="E14" s="3" t="s">
        <v>23</v>
      </c>
      <c r="F14" s="3" t="s">
        <v>52</v>
      </c>
      <c r="G14" s="3" t="s">
        <v>16</v>
      </c>
      <c r="H14" s="3">
        <v>799</v>
      </c>
      <c r="I14" s="3">
        <v>1</v>
      </c>
      <c r="J14" s="3" t="s">
        <v>25</v>
      </c>
      <c r="K14" s="3">
        <v>5</v>
      </c>
      <c r="L14" s="3">
        <v>150</v>
      </c>
      <c r="M14" s="3">
        <f>Sales_Data!$H14*Sales_Data!$I14</f>
        <v>799</v>
      </c>
    </row>
    <row r="15" spans="1:13" x14ac:dyDescent="0.2">
      <c r="A15" s="5">
        <v>1014</v>
      </c>
      <c r="B15" s="4">
        <v>45306</v>
      </c>
      <c r="C15" s="5" t="s">
        <v>53</v>
      </c>
      <c r="D15" s="5" t="s">
        <v>35</v>
      </c>
      <c r="E15" s="5" t="s">
        <v>13</v>
      </c>
      <c r="F15" s="5" t="s">
        <v>54</v>
      </c>
      <c r="G15" s="5" t="s">
        <v>16</v>
      </c>
      <c r="H15" s="5">
        <v>2499</v>
      </c>
      <c r="I15" s="5">
        <v>1</v>
      </c>
      <c r="J15" s="5" t="s">
        <v>20</v>
      </c>
      <c r="K15" s="5">
        <v>10</v>
      </c>
      <c r="L15" s="5">
        <v>550</v>
      </c>
      <c r="M15" s="5">
        <f>Sales_Data!$H15*Sales_Data!$I15</f>
        <v>2499</v>
      </c>
    </row>
    <row r="16" spans="1:13" x14ac:dyDescent="0.2">
      <c r="A16" s="3">
        <v>1015</v>
      </c>
      <c r="B16" s="2">
        <v>45307</v>
      </c>
      <c r="C16" s="3" t="s">
        <v>55</v>
      </c>
      <c r="D16" s="3" t="s">
        <v>18</v>
      </c>
      <c r="E16" s="3" t="s">
        <v>28</v>
      </c>
      <c r="F16" s="3" t="s">
        <v>56</v>
      </c>
      <c r="G16" s="3" t="s">
        <v>16</v>
      </c>
      <c r="H16" s="3">
        <v>599</v>
      </c>
      <c r="I16" s="3">
        <v>2</v>
      </c>
      <c r="J16" s="3" t="s">
        <v>15</v>
      </c>
      <c r="K16" s="3">
        <v>5</v>
      </c>
      <c r="L16" s="3">
        <v>240</v>
      </c>
      <c r="M16" s="3">
        <f>Sales_Data!$H16*Sales_Data!$I16</f>
        <v>1198</v>
      </c>
    </row>
    <row r="17" spans="1:13" x14ac:dyDescent="0.2">
      <c r="A17" s="5">
        <v>1016</v>
      </c>
      <c r="B17" s="4">
        <v>45308</v>
      </c>
      <c r="C17" s="5" t="s">
        <v>57</v>
      </c>
      <c r="D17" s="5" t="s">
        <v>12</v>
      </c>
      <c r="E17" s="5" t="s">
        <v>23</v>
      </c>
      <c r="F17" s="5" t="s">
        <v>58</v>
      </c>
      <c r="G17" s="5" t="s">
        <v>16</v>
      </c>
      <c r="H17" s="5">
        <v>1499</v>
      </c>
      <c r="I17" s="5">
        <v>1</v>
      </c>
      <c r="J17" s="5" t="s">
        <v>20</v>
      </c>
      <c r="K17" s="5">
        <v>0</v>
      </c>
      <c r="L17" s="5">
        <v>350</v>
      </c>
      <c r="M17" s="5">
        <f>Sales_Data!$H17*Sales_Data!$I17</f>
        <v>1499</v>
      </c>
    </row>
    <row r="18" spans="1:13" x14ac:dyDescent="0.2">
      <c r="A18" s="3">
        <v>1017</v>
      </c>
      <c r="B18" s="2">
        <v>45308</v>
      </c>
      <c r="C18" s="3" t="s">
        <v>59</v>
      </c>
      <c r="D18" s="3" t="s">
        <v>31</v>
      </c>
      <c r="E18" s="3" t="s">
        <v>13</v>
      </c>
      <c r="F18" s="3" t="s">
        <v>60</v>
      </c>
      <c r="G18" s="3" t="s">
        <v>16</v>
      </c>
      <c r="H18" s="3">
        <v>299</v>
      </c>
      <c r="I18" s="3">
        <v>3</v>
      </c>
      <c r="J18" s="3" t="s">
        <v>25</v>
      </c>
      <c r="K18" s="3">
        <v>0</v>
      </c>
      <c r="L18" s="3">
        <v>140</v>
      </c>
      <c r="M18" s="3">
        <f>Sales_Data!$H18*Sales_Data!$I18</f>
        <v>897</v>
      </c>
    </row>
    <row r="19" spans="1:13" x14ac:dyDescent="0.2">
      <c r="A19" s="5">
        <v>1018</v>
      </c>
      <c r="B19" s="4">
        <v>45309</v>
      </c>
      <c r="C19" s="5" t="s">
        <v>61</v>
      </c>
      <c r="D19" s="5" t="s">
        <v>22</v>
      </c>
      <c r="E19" s="5" t="s">
        <v>13</v>
      </c>
      <c r="F19" s="5" t="s">
        <v>62</v>
      </c>
      <c r="G19" s="5" t="s">
        <v>16</v>
      </c>
      <c r="H19" s="5">
        <v>1899</v>
      </c>
      <c r="I19" s="5">
        <v>1</v>
      </c>
      <c r="J19" s="5" t="s">
        <v>15</v>
      </c>
      <c r="K19" s="5">
        <v>5</v>
      </c>
      <c r="L19" s="5">
        <v>400</v>
      </c>
      <c r="M19" s="5">
        <f>Sales_Data!$H19*Sales_Data!$I19</f>
        <v>1899</v>
      </c>
    </row>
    <row r="20" spans="1:13" x14ac:dyDescent="0.2">
      <c r="A20" s="3">
        <v>1019</v>
      </c>
      <c r="B20" s="2">
        <v>45310</v>
      </c>
      <c r="C20" s="3" t="s">
        <v>63</v>
      </c>
      <c r="D20" s="3" t="s">
        <v>27</v>
      </c>
      <c r="E20" s="3" t="s">
        <v>23</v>
      </c>
      <c r="F20" s="3" t="s">
        <v>64</v>
      </c>
      <c r="G20" s="3" t="s">
        <v>16</v>
      </c>
      <c r="H20" s="3">
        <v>1299</v>
      </c>
      <c r="I20" s="3">
        <v>1</v>
      </c>
      <c r="J20" s="3" t="s">
        <v>20</v>
      </c>
      <c r="K20" s="3">
        <v>0</v>
      </c>
      <c r="L20" s="3">
        <v>250</v>
      </c>
      <c r="M20" s="3">
        <f>Sales_Data!$H20*Sales_Data!$I20</f>
        <v>1299</v>
      </c>
    </row>
    <row r="21" spans="1:13" x14ac:dyDescent="0.2">
      <c r="A21" s="5">
        <v>1020</v>
      </c>
      <c r="B21" s="4">
        <v>45311</v>
      </c>
      <c r="C21" s="5" t="s">
        <v>65</v>
      </c>
      <c r="D21" s="5" t="s">
        <v>38</v>
      </c>
      <c r="E21" s="5" t="s">
        <v>28</v>
      </c>
      <c r="F21" s="5" t="s">
        <v>66</v>
      </c>
      <c r="G21" s="5" t="s">
        <v>16</v>
      </c>
      <c r="H21" s="5">
        <v>499</v>
      </c>
      <c r="I21" s="5">
        <v>4</v>
      </c>
      <c r="J21" s="5" t="s">
        <v>15</v>
      </c>
      <c r="K21" s="5">
        <v>0</v>
      </c>
      <c r="L21" s="5">
        <v>300</v>
      </c>
      <c r="M21" s="5">
        <f>Sales_Data!$H21*Sales_Data!$I21</f>
        <v>1996</v>
      </c>
    </row>
    <row r="22" spans="1:13" x14ac:dyDescent="0.2">
      <c r="A22" s="3">
        <v>1021</v>
      </c>
      <c r="B22" s="2">
        <v>45312</v>
      </c>
      <c r="C22" s="3" t="s">
        <v>67</v>
      </c>
      <c r="D22" s="3" t="s">
        <v>35</v>
      </c>
      <c r="E22" s="3" t="s">
        <v>13</v>
      </c>
      <c r="F22" s="3" t="s">
        <v>68</v>
      </c>
      <c r="G22" s="3" t="s">
        <v>16</v>
      </c>
      <c r="H22" s="3">
        <v>699</v>
      </c>
      <c r="I22" s="3">
        <v>2</v>
      </c>
      <c r="J22" s="3" t="s">
        <v>25</v>
      </c>
      <c r="K22" s="3">
        <v>5</v>
      </c>
      <c r="L22" s="3">
        <v>260</v>
      </c>
      <c r="M22" s="3">
        <f>Sales_Data!$H22*Sales_Data!$I22</f>
        <v>1398</v>
      </c>
    </row>
    <row r="23" spans="1:13" x14ac:dyDescent="0.2">
      <c r="A23" s="5">
        <v>1022</v>
      </c>
      <c r="B23" s="4">
        <v>45313</v>
      </c>
      <c r="C23" s="5" t="s">
        <v>69</v>
      </c>
      <c r="D23" s="5" t="s">
        <v>22</v>
      </c>
      <c r="E23" s="5" t="s">
        <v>23</v>
      </c>
      <c r="F23" s="5" t="s">
        <v>70</v>
      </c>
      <c r="G23" s="5" t="s">
        <v>16</v>
      </c>
      <c r="H23" s="5">
        <v>499</v>
      </c>
      <c r="I23" s="5">
        <v>3</v>
      </c>
      <c r="J23" s="5" t="s">
        <v>15</v>
      </c>
      <c r="K23" s="5">
        <v>0</v>
      </c>
      <c r="L23" s="5">
        <v>280</v>
      </c>
      <c r="M23" s="5">
        <f>Sales_Data!$H23*Sales_Data!$I23</f>
        <v>1497</v>
      </c>
    </row>
    <row r="24" spans="1:13" x14ac:dyDescent="0.2">
      <c r="A24" s="3">
        <v>1023</v>
      </c>
      <c r="B24" s="2">
        <v>45314</v>
      </c>
      <c r="C24" s="3" t="s">
        <v>71</v>
      </c>
      <c r="D24" s="3" t="s">
        <v>12</v>
      </c>
      <c r="E24" s="3" t="s">
        <v>28</v>
      </c>
      <c r="F24" s="3" t="s">
        <v>72</v>
      </c>
      <c r="G24" s="3" t="s">
        <v>16</v>
      </c>
      <c r="H24" s="3">
        <v>999</v>
      </c>
      <c r="I24" s="3">
        <v>2</v>
      </c>
      <c r="J24" s="3" t="s">
        <v>20</v>
      </c>
      <c r="K24" s="3">
        <v>5</v>
      </c>
      <c r="L24" s="3">
        <v>350</v>
      </c>
      <c r="M24" s="3">
        <f>Sales_Data!$H24*Sales_Data!$I24</f>
        <v>1998</v>
      </c>
    </row>
    <row r="25" spans="1:13" x14ac:dyDescent="0.2">
      <c r="A25" s="5">
        <v>1024</v>
      </c>
      <c r="B25" s="4">
        <v>45315</v>
      </c>
      <c r="C25" s="5" t="s">
        <v>73</v>
      </c>
      <c r="D25" s="5" t="s">
        <v>18</v>
      </c>
      <c r="E25" s="5" t="s">
        <v>23</v>
      </c>
      <c r="F25" s="5" t="s">
        <v>74</v>
      </c>
      <c r="G25" s="5" t="s">
        <v>16</v>
      </c>
      <c r="H25" s="5">
        <v>2899</v>
      </c>
      <c r="I25" s="5">
        <v>1</v>
      </c>
      <c r="J25" s="5" t="s">
        <v>15</v>
      </c>
      <c r="K25" s="5">
        <v>10</v>
      </c>
      <c r="L25" s="5">
        <v>600</v>
      </c>
      <c r="M25" s="5">
        <f>Sales_Data!$H25*Sales_Data!$I25</f>
        <v>2899</v>
      </c>
    </row>
    <row r="26" spans="1:13" x14ac:dyDescent="0.2">
      <c r="A26" s="3">
        <v>1025</v>
      </c>
      <c r="B26" s="2">
        <v>45316</v>
      </c>
      <c r="C26" s="3" t="s">
        <v>75</v>
      </c>
      <c r="D26" s="3" t="s">
        <v>27</v>
      </c>
      <c r="E26" s="3" t="s">
        <v>13</v>
      </c>
      <c r="F26" s="3" t="s">
        <v>76</v>
      </c>
      <c r="G26" s="3" t="s">
        <v>16</v>
      </c>
      <c r="H26" s="3">
        <v>1599</v>
      </c>
      <c r="I26" s="3">
        <v>1</v>
      </c>
      <c r="J26" s="3" t="s">
        <v>20</v>
      </c>
      <c r="K26" s="3">
        <v>0</v>
      </c>
      <c r="L26" s="3">
        <v>300</v>
      </c>
      <c r="M26" s="3">
        <f>Sales_Data!$H26*Sales_Data!$I26</f>
        <v>1599</v>
      </c>
    </row>
    <row r="27" spans="1:13" x14ac:dyDescent="0.2">
      <c r="A27" s="5">
        <v>1026</v>
      </c>
      <c r="B27" s="4">
        <v>45317</v>
      </c>
      <c r="C27" s="5" t="s">
        <v>77</v>
      </c>
      <c r="D27" s="5" t="s">
        <v>31</v>
      </c>
      <c r="E27" s="5" t="s">
        <v>13</v>
      </c>
      <c r="F27" s="5" t="s">
        <v>78</v>
      </c>
      <c r="G27" s="5" t="s">
        <v>16</v>
      </c>
      <c r="H27" s="5">
        <v>499</v>
      </c>
      <c r="I27" s="5">
        <v>3</v>
      </c>
      <c r="J27" s="5" t="s">
        <v>25</v>
      </c>
      <c r="K27" s="5">
        <v>0</v>
      </c>
      <c r="L27" s="5">
        <v>210</v>
      </c>
      <c r="M27" s="5">
        <f>Sales_Data!$H27*Sales_Data!$I27</f>
        <v>1497</v>
      </c>
    </row>
    <row r="28" spans="1:13" x14ac:dyDescent="0.2">
      <c r="A28" s="3">
        <v>1027</v>
      </c>
      <c r="B28" s="2">
        <v>45318</v>
      </c>
      <c r="C28" s="3" t="s">
        <v>79</v>
      </c>
      <c r="D28" s="3" t="s">
        <v>38</v>
      </c>
      <c r="E28" s="3" t="s">
        <v>23</v>
      </c>
      <c r="F28" s="3" t="s">
        <v>80</v>
      </c>
      <c r="G28" s="3" t="s">
        <v>16</v>
      </c>
      <c r="H28" s="3">
        <v>299</v>
      </c>
      <c r="I28" s="3">
        <v>2</v>
      </c>
      <c r="J28" s="3" t="s">
        <v>25</v>
      </c>
      <c r="K28" s="3">
        <v>0</v>
      </c>
      <c r="L28" s="3">
        <v>100</v>
      </c>
      <c r="M28" s="3">
        <f>Sales_Data!$H28*Sales_Data!$I28</f>
        <v>598</v>
      </c>
    </row>
    <row r="29" spans="1:13" x14ac:dyDescent="0.2">
      <c r="A29" s="5">
        <v>1028</v>
      </c>
      <c r="B29" s="4">
        <v>45319</v>
      </c>
      <c r="C29" s="5" t="s">
        <v>81</v>
      </c>
      <c r="D29" s="5" t="s">
        <v>12</v>
      </c>
      <c r="E29" s="5" t="s">
        <v>28</v>
      </c>
      <c r="F29" s="5" t="s">
        <v>82</v>
      </c>
      <c r="G29" s="5" t="s">
        <v>16</v>
      </c>
      <c r="H29" s="5">
        <v>399</v>
      </c>
      <c r="I29" s="5">
        <v>4</v>
      </c>
      <c r="J29" s="5" t="s">
        <v>20</v>
      </c>
      <c r="K29" s="5">
        <v>5</v>
      </c>
      <c r="L29" s="5">
        <v>260</v>
      </c>
      <c r="M29" s="5">
        <f>Sales_Data!$H29*Sales_Data!$I29</f>
        <v>1596</v>
      </c>
    </row>
    <row r="30" spans="1:13" x14ac:dyDescent="0.2">
      <c r="A30" s="3">
        <v>1029</v>
      </c>
      <c r="B30" s="2">
        <v>45319</v>
      </c>
      <c r="C30" s="3" t="s">
        <v>83</v>
      </c>
      <c r="D30" s="3" t="s">
        <v>22</v>
      </c>
      <c r="E30" s="3" t="s">
        <v>13</v>
      </c>
      <c r="F30" s="3" t="s">
        <v>84</v>
      </c>
      <c r="G30" s="3" t="s">
        <v>16</v>
      </c>
      <c r="H30" s="3">
        <v>7999</v>
      </c>
      <c r="I30" s="3">
        <v>1</v>
      </c>
      <c r="J30" s="3" t="s">
        <v>25</v>
      </c>
      <c r="K30" s="3">
        <v>5</v>
      </c>
      <c r="L30" s="3">
        <v>1500</v>
      </c>
      <c r="M30" s="3">
        <f>Sales_Data!$H30*Sales_Data!$I30</f>
        <v>7999</v>
      </c>
    </row>
    <row r="31" spans="1:13" x14ac:dyDescent="0.2">
      <c r="A31" s="5">
        <v>1030</v>
      </c>
      <c r="B31" s="4">
        <v>45320</v>
      </c>
      <c r="C31" s="5" t="s">
        <v>85</v>
      </c>
      <c r="D31" s="5" t="s">
        <v>18</v>
      </c>
      <c r="E31" s="5" t="s">
        <v>13</v>
      </c>
      <c r="F31" s="5" t="s">
        <v>86</v>
      </c>
      <c r="G31" s="5" t="s">
        <v>16</v>
      </c>
      <c r="H31" s="5">
        <v>1999</v>
      </c>
      <c r="I31" s="5">
        <v>1</v>
      </c>
      <c r="J31" s="5" t="s">
        <v>15</v>
      </c>
      <c r="K31" s="5">
        <v>8</v>
      </c>
      <c r="L31" s="5">
        <v>400</v>
      </c>
      <c r="M31" s="5">
        <f>Sales_Data!$H31*Sales_Data!$I31</f>
        <v>1999</v>
      </c>
    </row>
    <row r="32" spans="1:13" x14ac:dyDescent="0.2">
      <c r="A32" s="3">
        <v>1031</v>
      </c>
      <c r="B32" s="2">
        <v>45321</v>
      </c>
      <c r="C32" s="3" t="s">
        <v>87</v>
      </c>
      <c r="D32" s="3" t="s">
        <v>27</v>
      </c>
      <c r="E32" s="3" t="s">
        <v>23</v>
      </c>
      <c r="F32" s="3" t="s">
        <v>88</v>
      </c>
      <c r="G32" s="3" t="s">
        <v>16</v>
      </c>
      <c r="H32" s="3">
        <v>999</v>
      </c>
      <c r="I32" s="3">
        <v>1</v>
      </c>
      <c r="J32" s="3" t="s">
        <v>20</v>
      </c>
      <c r="K32" s="3">
        <v>0</v>
      </c>
      <c r="L32" s="3">
        <v>180</v>
      </c>
      <c r="M32" s="3">
        <f>Sales_Data!$H32*Sales_Data!$I32</f>
        <v>999</v>
      </c>
    </row>
    <row r="33" spans="1:13" x14ac:dyDescent="0.2">
      <c r="A33" s="5">
        <v>1032</v>
      </c>
      <c r="B33" s="4">
        <v>45322</v>
      </c>
      <c r="C33" s="5" t="s">
        <v>89</v>
      </c>
      <c r="D33" s="5" t="s">
        <v>31</v>
      </c>
      <c r="E33" s="5" t="s">
        <v>28</v>
      </c>
      <c r="F33" s="5" t="s">
        <v>90</v>
      </c>
      <c r="G33" s="5" t="s">
        <v>16</v>
      </c>
      <c r="H33" s="5">
        <v>299</v>
      </c>
      <c r="I33" s="5">
        <v>3</v>
      </c>
      <c r="J33" s="5" t="s">
        <v>15</v>
      </c>
      <c r="K33" s="5">
        <v>0</v>
      </c>
      <c r="L33" s="5">
        <v>120</v>
      </c>
      <c r="M33" s="5">
        <f>Sales_Data!$H33*Sales_Data!$I33</f>
        <v>897</v>
      </c>
    </row>
    <row r="34" spans="1:13" x14ac:dyDescent="0.2">
      <c r="A34" s="3">
        <v>1033</v>
      </c>
      <c r="B34" s="2">
        <v>45323</v>
      </c>
      <c r="C34" s="3" t="s">
        <v>91</v>
      </c>
      <c r="D34" s="3" t="s">
        <v>35</v>
      </c>
      <c r="E34" s="3" t="s">
        <v>13</v>
      </c>
      <c r="F34" s="3" t="s">
        <v>92</v>
      </c>
      <c r="G34" s="3" t="s">
        <v>16</v>
      </c>
      <c r="H34" s="3">
        <v>149</v>
      </c>
      <c r="I34" s="3">
        <v>6</v>
      </c>
      <c r="J34" s="3" t="s">
        <v>20</v>
      </c>
      <c r="K34" s="3">
        <v>0</v>
      </c>
      <c r="L34" s="3">
        <v>160</v>
      </c>
      <c r="M34" s="3">
        <f>Sales_Data!$H34*Sales_Data!$I34</f>
        <v>894</v>
      </c>
    </row>
    <row r="35" spans="1:13" x14ac:dyDescent="0.2">
      <c r="A35" s="5">
        <v>1034</v>
      </c>
      <c r="B35" s="4">
        <v>45324</v>
      </c>
      <c r="C35" s="5" t="s">
        <v>93</v>
      </c>
      <c r="D35" s="5" t="s">
        <v>22</v>
      </c>
      <c r="E35" s="5" t="s">
        <v>23</v>
      </c>
      <c r="F35" s="5" t="s">
        <v>94</v>
      </c>
      <c r="G35" s="5" t="s">
        <v>16</v>
      </c>
      <c r="H35" s="5">
        <v>899</v>
      </c>
      <c r="I35" s="5">
        <v>1</v>
      </c>
      <c r="J35" s="5" t="s">
        <v>25</v>
      </c>
      <c r="K35" s="5">
        <v>0</v>
      </c>
      <c r="L35" s="5">
        <v>180</v>
      </c>
      <c r="M35" s="5">
        <f>Sales_Data!$H35*Sales_Data!$I35</f>
        <v>899</v>
      </c>
    </row>
    <row r="36" spans="1:13" x14ac:dyDescent="0.2">
      <c r="A36" s="3">
        <v>1035</v>
      </c>
      <c r="B36" s="2">
        <v>45325</v>
      </c>
      <c r="C36" s="3" t="s">
        <v>95</v>
      </c>
      <c r="D36" s="3" t="s">
        <v>27</v>
      </c>
      <c r="E36" s="3" t="s">
        <v>28</v>
      </c>
      <c r="F36" s="3" t="s">
        <v>96</v>
      </c>
      <c r="G36" s="3" t="s">
        <v>16</v>
      </c>
      <c r="H36" s="3">
        <v>1299</v>
      </c>
      <c r="I36" s="3">
        <v>1</v>
      </c>
      <c r="J36" s="3" t="s">
        <v>15</v>
      </c>
      <c r="K36" s="3">
        <v>5</v>
      </c>
      <c r="L36" s="3">
        <v>250</v>
      </c>
      <c r="M36" s="3">
        <f>Sales_Data!$H36*Sales_Data!$I36</f>
        <v>1299</v>
      </c>
    </row>
    <row r="37" spans="1:13" x14ac:dyDescent="0.2">
      <c r="A37" s="5">
        <v>1036</v>
      </c>
      <c r="B37" s="4">
        <v>45326</v>
      </c>
      <c r="C37" s="5" t="s">
        <v>97</v>
      </c>
      <c r="D37" s="5" t="s">
        <v>18</v>
      </c>
      <c r="E37" s="5" t="s">
        <v>13</v>
      </c>
      <c r="F37" s="5" t="s">
        <v>98</v>
      </c>
      <c r="G37" s="5" t="s">
        <v>16</v>
      </c>
      <c r="H37" s="5">
        <v>5999</v>
      </c>
      <c r="I37" s="5">
        <v>1</v>
      </c>
      <c r="J37" s="5" t="s">
        <v>25</v>
      </c>
      <c r="K37" s="5">
        <v>10</v>
      </c>
      <c r="L37" s="5">
        <v>1200</v>
      </c>
      <c r="M37" s="5">
        <f>Sales_Data!$H37*Sales_Data!$I37</f>
        <v>5999</v>
      </c>
    </row>
    <row r="38" spans="1:13" x14ac:dyDescent="0.2">
      <c r="A38" s="3">
        <v>1037</v>
      </c>
      <c r="B38" s="2">
        <v>45327</v>
      </c>
      <c r="C38" s="3" t="s">
        <v>99</v>
      </c>
      <c r="D38" s="3" t="s">
        <v>31</v>
      </c>
      <c r="E38" s="3" t="s">
        <v>23</v>
      </c>
      <c r="F38" s="3" t="s">
        <v>100</v>
      </c>
      <c r="G38" s="3" t="s">
        <v>16</v>
      </c>
      <c r="H38" s="3">
        <v>699</v>
      </c>
      <c r="I38" s="3">
        <v>2</v>
      </c>
      <c r="J38" s="3" t="s">
        <v>20</v>
      </c>
      <c r="K38" s="3">
        <v>0</v>
      </c>
      <c r="L38" s="3">
        <v>220</v>
      </c>
      <c r="M38" s="3">
        <f>Sales_Data!$H38*Sales_Data!$I38</f>
        <v>1398</v>
      </c>
    </row>
    <row r="39" spans="1:13" x14ac:dyDescent="0.2">
      <c r="A39" s="5">
        <v>1038</v>
      </c>
      <c r="B39" s="4">
        <v>45327</v>
      </c>
      <c r="C39" s="5" t="s">
        <v>101</v>
      </c>
      <c r="D39" s="5" t="s">
        <v>38</v>
      </c>
      <c r="E39" s="5" t="s">
        <v>28</v>
      </c>
      <c r="F39" s="5" t="s">
        <v>102</v>
      </c>
      <c r="G39" s="5" t="s">
        <v>16</v>
      </c>
      <c r="H39" s="5">
        <v>249</v>
      </c>
      <c r="I39" s="5">
        <v>3</v>
      </c>
      <c r="J39" s="5" t="s">
        <v>15</v>
      </c>
      <c r="K39" s="5">
        <v>0</v>
      </c>
      <c r="L39" s="5">
        <v>110</v>
      </c>
      <c r="M39" s="5">
        <f>Sales_Data!$H39*Sales_Data!$I39</f>
        <v>747</v>
      </c>
    </row>
    <row r="40" spans="1:13" x14ac:dyDescent="0.2">
      <c r="A40" s="3">
        <v>1039</v>
      </c>
      <c r="B40" s="2">
        <v>45328</v>
      </c>
      <c r="C40" s="3" t="s">
        <v>103</v>
      </c>
      <c r="D40" s="3" t="s">
        <v>12</v>
      </c>
      <c r="E40" s="3" t="s">
        <v>13</v>
      </c>
      <c r="F40" s="3" t="s">
        <v>104</v>
      </c>
      <c r="G40" s="3" t="s">
        <v>16</v>
      </c>
      <c r="H40" s="3">
        <v>14999</v>
      </c>
      <c r="I40" s="3">
        <v>1</v>
      </c>
      <c r="J40" s="3" t="s">
        <v>25</v>
      </c>
      <c r="K40" s="3">
        <v>5</v>
      </c>
      <c r="L40" s="3">
        <v>2800</v>
      </c>
      <c r="M40" s="3">
        <f>Sales_Data!$H40*Sales_Data!$I40</f>
        <v>14999</v>
      </c>
    </row>
    <row r="41" spans="1:13" x14ac:dyDescent="0.2">
      <c r="A41" s="5">
        <v>1040</v>
      </c>
      <c r="B41" s="4">
        <v>45329</v>
      </c>
      <c r="C41" s="5" t="s">
        <v>105</v>
      </c>
      <c r="D41" s="5" t="s">
        <v>22</v>
      </c>
      <c r="E41" s="5" t="s">
        <v>23</v>
      </c>
      <c r="F41" s="5" t="s">
        <v>106</v>
      </c>
      <c r="G41" s="5" t="s">
        <v>16</v>
      </c>
      <c r="H41" s="5">
        <v>1999</v>
      </c>
      <c r="I41" s="5">
        <v>1</v>
      </c>
      <c r="J41" s="5" t="s">
        <v>20</v>
      </c>
      <c r="K41" s="5">
        <v>0</v>
      </c>
      <c r="L41" s="5">
        <v>400</v>
      </c>
      <c r="M41" s="5">
        <f>Sales_Data!$H41*Sales_Data!$I41</f>
        <v>1999</v>
      </c>
    </row>
    <row r="42" spans="1:13" x14ac:dyDescent="0.2">
      <c r="A42" s="3">
        <v>1041</v>
      </c>
      <c r="B42" s="2">
        <v>45330</v>
      </c>
      <c r="C42" s="3" t="s">
        <v>107</v>
      </c>
      <c r="D42" s="3" t="s">
        <v>27</v>
      </c>
      <c r="E42" s="3" t="s">
        <v>28</v>
      </c>
      <c r="F42" s="3" t="s">
        <v>108</v>
      </c>
      <c r="G42" s="3" t="s">
        <v>16</v>
      </c>
      <c r="H42" s="3">
        <v>699</v>
      </c>
      <c r="I42" s="3">
        <v>2</v>
      </c>
      <c r="J42" s="3" t="s">
        <v>15</v>
      </c>
      <c r="K42" s="3">
        <v>0</v>
      </c>
      <c r="L42" s="3">
        <v>250</v>
      </c>
      <c r="M42" s="3">
        <f>Sales_Data!$H42*Sales_Data!$I42</f>
        <v>1398</v>
      </c>
    </row>
    <row r="43" spans="1:13" x14ac:dyDescent="0.2">
      <c r="A43" s="5">
        <v>1042</v>
      </c>
      <c r="B43" s="4">
        <v>45331</v>
      </c>
      <c r="C43" s="5" t="s">
        <v>109</v>
      </c>
      <c r="D43" s="5" t="s">
        <v>31</v>
      </c>
      <c r="E43" s="5" t="s">
        <v>13</v>
      </c>
      <c r="F43" s="5" t="s">
        <v>110</v>
      </c>
      <c r="G43" s="5" t="s">
        <v>16</v>
      </c>
      <c r="H43" s="5">
        <v>1999</v>
      </c>
      <c r="I43" s="5">
        <v>1</v>
      </c>
      <c r="J43" s="5" t="s">
        <v>20</v>
      </c>
      <c r="K43" s="5">
        <v>0</v>
      </c>
      <c r="L43" s="5">
        <v>350</v>
      </c>
      <c r="M43" s="5">
        <f>Sales_Data!$H43*Sales_Data!$I43</f>
        <v>1999</v>
      </c>
    </row>
    <row r="44" spans="1:13" x14ac:dyDescent="0.2">
      <c r="A44" s="3">
        <v>1043</v>
      </c>
      <c r="B44" s="2">
        <v>45332</v>
      </c>
      <c r="C44" s="3" t="s">
        <v>111</v>
      </c>
      <c r="D44" s="3" t="s">
        <v>35</v>
      </c>
      <c r="E44" s="3" t="s">
        <v>23</v>
      </c>
      <c r="F44" s="3" t="s">
        <v>112</v>
      </c>
      <c r="G44" s="3" t="s">
        <v>16</v>
      </c>
      <c r="H44" s="3">
        <v>299</v>
      </c>
      <c r="I44" s="3">
        <v>2</v>
      </c>
      <c r="J44" s="3" t="s">
        <v>15</v>
      </c>
      <c r="K44" s="3">
        <v>0</v>
      </c>
      <c r="L44" s="3">
        <v>90</v>
      </c>
      <c r="M44" s="3">
        <f>Sales_Data!$H44*Sales_Data!$I44</f>
        <v>598</v>
      </c>
    </row>
    <row r="45" spans="1:13" x14ac:dyDescent="0.2">
      <c r="A45" s="5">
        <v>1044</v>
      </c>
      <c r="B45" s="4">
        <v>45333</v>
      </c>
      <c r="C45" s="5" t="s">
        <v>113</v>
      </c>
      <c r="D45" s="5" t="s">
        <v>18</v>
      </c>
      <c r="E45" s="5" t="s">
        <v>28</v>
      </c>
      <c r="F45" s="5" t="s">
        <v>114</v>
      </c>
      <c r="G45" s="5" t="s">
        <v>16</v>
      </c>
      <c r="H45" s="5">
        <v>499</v>
      </c>
      <c r="I45" s="5">
        <v>3</v>
      </c>
      <c r="J45" s="5" t="s">
        <v>25</v>
      </c>
      <c r="K45" s="5">
        <v>0</v>
      </c>
      <c r="L45" s="5">
        <v>200</v>
      </c>
      <c r="M45" s="5">
        <f>Sales_Data!$H45*Sales_Data!$I45</f>
        <v>1497</v>
      </c>
    </row>
    <row r="46" spans="1:13" x14ac:dyDescent="0.2">
      <c r="A46" s="3">
        <v>1045</v>
      </c>
      <c r="B46" s="2">
        <v>45334</v>
      </c>
      <c r="C46" s="3" t="s">
        <v>115</v>
      </c>
      <c r="D46" s="3" t="s">
        <v>12</v>
      </c>
      <c r="E46" s="3" t="s">
        <v>13</v>
      </c>
      <c r="F46" s="3" t="s">
        <v>116</v>
      </c>
      <c r="G46" s="3" t="s">
        <v>16</v>
      </c>
      <c r="H46" s="3">
        <v>1299</v>
      </c>
      <c r="I46" s="3">
        <v>1</v>
      </c>
      <c r="J46" s="3" t="s">
        <v>15</v>
      </c>
      <c r="K46" s="3">
        <v>5</v>
      </c>
      <c r="L46" s="3">
        <v>250</v>
      </c>
      <c r="M46" s="3">
        <f>Sales_Data!$H46*Sales_Data!$I46</f>
        <v>1299</v>
      </c>
    </row>
    <row r="47" spans="1:13" x14ac:dyDescent="0.2">
      <c r="A47" s="5">
        <v>1046</v>
      </c>
      <c r="B47" s="4">
        <v>45335</v>
      </c>
      <c r="C47" s="5" t="s">
        <v>117</v>
      </c>
      <c r="D47" s="5" t="s">
        <v>22</v>
      </c>
      <c r="E47" s="5" t="s">
        <v>23</v>
      </c>
      <c r="F47" s="5" t="s">
        <v>118</v>
      </c>
      <c r="G47" s="5" t="s">
        <v>16</v>
      </c>
      <c r="H47" s="5">
        <v>2499</v>
      </c>
      <c r="I47" s="5">
        <v>1</v>
      </c>
      <c r="J47" s="5" t="s">
        <v>20</v>
      </c>
      <c r="K47" s="5">
        <v>10</v>
      </c>
      <c r="L47" s="5">
        <v>550</v>
      </c>
      <c r="M47" s="5">
        <f>Sales_Data!$H47*Sales_Data!$I47</f>
        <v>2499</v>
      </c>
    </row>
    <row r="48" spans="1:13" x14ac:dyDescent="0.2">
      <c r="A48" s="3">
        <v>1047</v>
      </c>
      <c r="B48" s="2">
        <v>45336</v>
      </c>
      <c r="C48" s="3" t="s">
        <v>119</v>
      </c>
      <c r="D48" s="3" t="s">
        <v>27</v>
      </c>
      <c r="E48" s="3" t="s">
        <v>28</v>
      </c>
      <c r="F48" s="3" t="s">
        <v>120</v>
      </c>
      <c r="G48" s="3" t="s">
        <v>16</v>
      </c>
      <c r="H48" s="3">
        <v>399</v>
      </c>
      <c r="I48" s="3">
        <v>5</v>
      </c>
      <c r="J48" s="3" t="s">
        <v>25</v>
      </c>
      <c r="K48" s="3">
        <v>0</v>
      </c>
      <c r="L48" s="3">
        <v>350</v>
      </c>
      <c r="M48" s="3">
        <f>Sales_Data!$H48*Sales_Data!$I48</f>
        <v>1995</v>
      </c>
    </row>
    <row r="49" spans="1:13" x14ac:dyDescent="0.2">
      <c r="A49" s="5">
        <v>1048</v>
      </c>
      <c r="B49" s="4">
        <v>45337</v>
      </c>
      <c r="C49" s="5" t="s">
        <v>121</v>
      </c>
      <c r="D49" s="5" t="s">
        <v>31</v>
      </c>
      <c r="E49" s="5" t="s">
        <v>13</v>
      </c>
      <c r="F49" s="5" t="s">
        <v>122</v>
      </c>
      <c r="G49" s="5" t="s">
        <v>16</v>
      </c>
      <c r="H49" s="5">
        <v>24999</v>
      </c>
      <c r="I49" s="5">
        <v>1</v>
      </c>
      <c r="J49" s="5" t="s">
        <v>15</v>
      </c>
      <c r="K49" s="5">
        <v>10</v>
      </c>
      <c r="L49" s="5">
        <v>5000</v>
      </c>
      <c r="M49" s="5">
        <f>Sales_Data!$H49*Sales_Data!$I49</f>
        <v>24999</v>
      </c>
    </row>
    <row r="50" spans="1:13" x14ac:dyDescent="0.2">
      <c r="A50" s="3">
        <v>1049</v>
      </c>
      <c r="B50" s="2">
        <v>45338</v>
      </c>
      <c r="C50" s="3" t="s">
        <v>123</v>
      </c>
      <c r="D50" s="3" t="s">
        <v>35</v>
      </c>
      <c r="E50" s="3" t="s">
        <v>23</v>
      </c>
      <c r="F50" s="3" t="s">
        <v>124</v>
      </c>
      <c r="G50" s="3" t="s">
        <v>16</v>
      </c>
      <c r="H50" s="3">
        <v>499</v>
      </c>
      <c r="I50" s="3">
        <v>2</v>
      </c>
      <c r="J50" s="3" t="s">
        <v>20</v>
      </c>
      <c r="K50" s="3">
        <v>0</v>
      </c>
      <c r="L50" s="3">
        <v>150</v>
      </c>
      <c r="M50" s="3">
        <f>Sales_Data!$H50*Sales_Data!$I50</f>
        <v>998</v>
      </c>
    </row>
    <row r="51" spans="1:13" x14ac:dyDescent="0.2">
      <c r="A51" s="5">
        <v>1050</v>
      </c>
      <c r="B51" s="4">
        <v>45339</v>
      </c>
      <c r="C51" s="5" t="s">
        <v>125</v>
      </c>
      <c r="D51" s="5" t="s">
        <v>18</v>
      </c>
      <c r="E51" s="5" t="s">
        <v>28</v>
      </c>
      <c r="F51" s="5" t="s">
        <v>126</v>
      </c>
      <c r="G51" s="5" t="s">
        <v>16</v>
      </c>
      <c r="H51" s="5">
        <v>999</v>
      </c>
      <c r="I51" s="5">
        <v>1</v>
      </c>
      <c r="J51" s="5" t="s">
        <v>15</v>
      </c>
      <c r="K51" s="5">
        <v>5</v>
      </c>
      <c r="L51" s="5">
        <v>180</v>
      </c>
      <c r="M51" s="5">
        <f>Sales_Data!$H51*Sales_Data!$I51</f>
        <v>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3420</dc:creator>
  <cp:lastModifiedBy>bhavani chary chityala</cp:lastModifiedBy>
  <cp:lastPrinted>2025-11-29T06:19:09Z</cp:lastPrinted>
  <dcterms:created xsi:type="dcterms:W3CDTF">2025-11-25T10:54:33Z</dcterms:created>
  <dcterms:modified xsi:type="dcterms:W3CDTF">2026-02-09T11:38:37Z</dcterms:modified>
</cp:coreProperties>
</file>