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3"/>
  <workbookPr/>
  <mc:AlternateContent xmlns:mc="http://schemas.openxmlformats.org/markup-compatibility/2006">
    <mc:Choice Requires="x15">
      <x15ac:absPath xmlns:x15ac="http://schemas.microsoft.com/office/spreadsheetml/2010/11/ac" url="/Users/bhargavachary/0.Innomatics/3.Adv Excel/"/>
    </mc:Choice>
  </mc:AlternateContent>
  <xr:revisionPtr revIDLastSave="0" documentId="13_ncr:1_{5581D201-D9B7-5148-9CAB-27C3AEE9DC90}" xr6:coauthVersionLast="47" xr6:coauthVersionMax="47" xr10:uidLastSave="{00000000-0000-0000-0000-000000000000}"/>
  <bookViews>
    <workbookView xWindow="0" yWindow="620" windowWidth="28800" windowHeight="17380" xr2:uid="{00000000-000D-0000-FFFF-FFFF00000000}"/>
  </bookViews>
  <sheets>
    <sheet name="Sales_Data" sheetId="1" r:id="rId1"/>
    <sheet name="Dash_board" sheetId="17" r:id="rId2"/>
    <sheet name="KPIs Card" sheetId="4" r:id="rId3"/>
    <sheet name="Pivot Tables" sheetId="10" r:id="rId4"/>
    <sheet name="Order_status" sheetId="15" r:id="rId5"/>
    <sheet name="Cat_Sale_Profit" sheetId="14" r:id="rId6"/>
    <sheet name="sale_by_dis" sheetId="16" r:id="rId7"/>
    <sheet name="Total_sales_City" sheetId="12" r:id="rId8"/>
    <sheet name="Payment_method" sheetId="13" r:id="rId9"/>
    <sheet name="Avg_sales_cat" sheetId="11" r:id="rId10"/>
  </sheets>
  <definedNames>
    <definedName name="_xlnm._FilterDatabase" localSheetId="0" hidden="1">Sales_Data!$A$1:$M$51</definedName>
    <definedName name="Slicer_Category">#N/A</definedName>
    <definedName name="Slicer_City">#N/A</definedName>
    <definedName name="Slicer_Order_Status">#N/A</definedName>
    <definedName name="Slicer_Payment_Mode">#N/A</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4" i="4" l="1"/>
  <c r="C19" i="4"/>
  <c r="C18" i="4"/>
  <c r="C17" i="4"/>
  <c r="C16" i="4"/>
  <c r="C15" i="4"/>
  <c r="C14" i="4"/>
  <c r="C13" i="4"/>
  <c r="G4" i="4"/>
  <c r="H4" i="4"/>
  <c r="I4" i="4"/>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alcChain>
</file>

<file path=xl/sharedStrings.xml><?xml version="1.0" encoding="utf-8"?>
<sst xmlns="http://schemas.openxmlformats.org/spreadsheetml/2006/main" count="374" uniqueCount="141">
  <si>
    <t>Order ID</t>
  </si>
  <si>
    <t>Order Date</t>
  </si>
  <si>
    <t>Customer Name</t>
  </si>
  <si>
    <t>City</t>
  </si>
  <si>
    <t>Product Name</t>
  </si>
  <si>
    <t>Unit Price</t>
  </si>
  <si>
    <t>Quantity</t>
  </si>
  <si>
    <t>Payment Mode</t>
  </si>
  <si>
    <t>Order Status</t>
  </si>
  <si>
    <t>Discount %</t>
  </si>
  <si>
    <t>Profit</t>
  </si>
  <si>
    <t>Rahul Sharma</t>
  </si>
  <si>
    <t>Hyderabad</t>
  </si>
  <si>
    <t>Electronics</t>
  </si>
  <si>
    <t>Wireless Mouse</t>
  </si>
  <si>
    <t>UPI</t>
  </si>
  <si>
    <t>Delivered</t>
  </si>
  <si>
    <t>Pooja Verma</t>
  </si>
  <si>
    <t>Bangalore</t>
  </si>
  <si>
    <t>Keyboard</t>
  </si>
  <si>
    <t>COD</t>
  </si>
  <si>
    <t>Amit Singh</t>
  </si>
  <si>
    <t>Delhi</t>
  </si>
  <si>
    <t>Fashion</t>
  </si>
  <si>
    <t>Sports Shoes</t>
  </si>
  <si>
    <t>Card</t>
  </si>
  <si>
    <t>Komal Jain</t>
  </si>
  <si>
    <t>Mumbai</t>
  </si>
  <si>
    <t>Home Decor</t>
  </si>
  <si>
    <t>Table Lamp</t>
  </si>
  <si>
    <t>Suresh Rao</t>
  </si>
  <si>
    <t>Pune</t>
  </si>
  <si>
    <t>Earbuds</t>
  </si>
  <si>
    <t>Returned</t>
  </si>
  <si>
    <t>Riya Gupta</t>
  </si>
  <si>
    <t>Kolkata</t>
  </si>
  <si>
    <t>Power Bank</t>
  </si>
  <si>
    <t>Karan Mehta</t>
  </si>
  <si>
    <t>Chennai</t>
  </si>
  <si>
    <t>Men T-Shirt</t>
  </si>
  <si>
    <t>Deepak Kumar</t>
  </si>
  <si>
    <t>Wall Clock</t>
  </si>
  <si>
    <t>Nikita Sharma</t>
  </si>
  <si>
    <t>Handbag</t>
  </si>
  <si>
    <t>Vishal Singh</t>
  </si>
  <si>
    <t>Smartwatch</t>
  </si>
  <si>
    <t>Cancelled</t>
  </si>
  <si>
    <t>Harsh Patel</t>
  </si>
  <si>
    <t>Bedside Lamp</t>
  </si>
  <si>
    <t>Aisha Khan</t>
  </si>
  <si>
    <t>USB Cable</t>
  </si>
  <si>
    <t>Anjali Rao</t>
  </si>
  <si>
    <t>Kurti</t>
  </si>
  <si>
    <t>Parth Shah</t>
  </si>
  <si>
    <t>Bluetooth Speaker</t>
  </si>
  <si>
    <t>Mohit Jain</t>
  </si>
  <si>
    <t>Flower Vase</t>
  </si>
  <si>
    <t>Kritika Sen</t>
  </si>
  <si>
    <t>Saree</t>
  </si>
  <si>
    <t>Sumit Roy</t>
  </si>
  <si>
    <t>Phone Cover</t>
  </si>
  <si>
    <t>Priya Mehta</t>
  </si>
  <si>
    <t>Webcam</t>
  </si>
  <si>
    <t>Rohit Sharma</t>
  </si>
  <si>
    <t>Jeans</t>
  </si>
  <si>
    <t>Nisha Agarwal</t>
  </si>
  <si>
    <t>Candle Set</t>
  </si>
  <si>
    <t>Arjun Gupta</t>
  </si>
  <si>
    <t>Earphones</t>
  </si>
  <si>
    <t>Mansi Shah</t>
  </si>
  <si>
    <t>Top</t>
  </si>
  <si>
    <t>Kunal Verma</t>
  </si>
  <si>
    <t>Curtains</t>
  </si>
  <si>
    <t>Ankit Patel</t>
  </si>
  <si>
    <t>Jacket</t>
  </si>
  <si>
    <t>Sweta Singh</t>
  </si>
  <si>
    <t>Trimmer</t>
  </si>
  <si>
    <t>Vikas Rao</t>
  </si>
  <si>
    <t>Charger</t>
  </si>
  <si>
    <t>Divya Nair</t>
  </si>
  <si>
    <t>Earrings</t>
  </si>
  <si>
    <t>Akash Jain</t>
  </si>
  <si>
    <t>Cushion Cover</t>
  </si>
  <si>
    <t>Megha Sharma</t>
  </si>
  <si>
    <t>Monitor</t>
  </si>
  <si>
    <t>Rajeev Kumar</t>
  </si>
  <si>
    <t>Router</t>
  </si>
  <si>
    <t>Shruti Singh</t>
  </si>
  <si>
    <t>Sandals</t>
  </si>
  <si>
    <t>Harish Kumar</t>
  </si>
  <si>
    <t>Doormat</t>
  </si>
  <si>
    <t>Roshni Patel</t>
  </si>
  <si>
    <t>LED Bulb</t>
  </si>
  <si>
    <t>Ananya Mehra</t>
  </si>
  <si>
    <t>Shirt</t>
  </si>
  <si>
    <t>Samir Gupta</t>
  </si>
  <si>
    <t>Showpiece</t>
  </si>
  <si>
    <t>Kavya Sharma</t>
  </si>
  <si>
    <t>Printer</t>
  </si>
  <si>
    <t>Nitin Rao</t>
  </si>
  <si>
    <t>Shorts</t>
  </si>
  <si>
    <t>Muskan Jain</t>
  </si>
  <si>
    <t>Table Mat</t>
  </si>
  <si>
    <t>Shivam Singh</t>
  </si>
  <si>
    <t>Tablet</t>
  </si>
  <si>
    <t>Aryan Patel</t>
  </si>
  <si>
    <t>Watch</t>
  </si>
  <si>
    <t>Reema Gupta</t>
  </si>
  <si>
    <t>Plant Pot</t>
  </si>
  <si>
    <t>Sachin Verma</t>
  </si>
  <si>
    <t>Headphones</t>
  </si>
  <si>
    <t>Naina Shah</t>
  </si>
  <si>
    <t>Scarf</t>
  </si>
  <si>
    <t>Manish Kumar</t>
  </si>
  <si>
    <t>Photo Frame</t>
  </si>
  <si>
    <t>Neha Singh</t>
  </si>
  <si>
    <t>Laptop Stand</t>
  </si>
  <si>
    <t>Aayush Jain</t>
  </si>
  <si>
    <t>Formal Shoes</t>
  </si>
  <si>
    <t>Ritika Roy</t>
  </si>
  <si>
    <t>LED Strip</t>
  </si>
  <si>
    <t>Jay Shah</t>
  </si>
  <si>
    <t>Camera</t>
  </si>
  <si>
    <t>Mona Rao</t>
  </si>
  <si>
    <t>Leggings</t>
  </si>
  <si>
    <t>Sunny Kumar</t>
  </si>
  <si>
    <t>Mirror</t>
  </si>
  <si>
    <t>Category</t>
  </si>
  <si>
    <t>Row Labels</t>
  </si>
  <si>
    <t>Grand Total</t>
  </si>
  <si>
    <t>Sum of Profit</t>
  </si>
  <si>
    <t>Total Sales</t>
  </si>
  <si>
    <t>Sum of Total Sales</t>
  </si>
  <si>
    <t>Average of Total Sales</t>
  </si>
  <si>
    <t>Sum of Quantity</t>
  </si>
  <si>
    <t>Count of Customer Name</t>
  </si>
  <si>
    <t>Count of Payment Mode</t>
  </si>
  <si>
    <t>Sales</t>
  </si>
  <si>
    <t>Total orders</t>
  </si>
  <si>
    <t>total profits</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</si>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</sst>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14" fontId="0" fillId="2" borderId="1" xfId="0" applyNumberFormat="1" applyFill="1" applyBorder="1"/>
    <xf numFmtId="0" fontId="0" fillId="2" borderId="1" xfId="0" applyFill="1" applyBorder="1"/>
    <xf numFmtId="14" fontId="0" fillId="0" borderId="1" xfId="0" applyNumberFormat="1" applyBorder="1"/>
    <xf numFmtId="0" fontId="0" fillId="0" borderId="1" xfId="0" applyBorder="1"/>
    <xf numFmtId="0" fontId="2" fillId="3" borderId="0" xfId="0" applyFont="1" applyFill="1"/>
  </cellXfs>
  <cellStyles count="1">
    <cellStyle name="Normal" xfId="0" builtinId="0"/>
  </cellStyles>
  <dxfs count="16">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5C84FF"/>
      <color rgb="FFF8BA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Analytics.xlsx]Pivot Tables!PivotTable1</c:name>
    <c:fmtId val="2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Percentage Of Each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63-8F46-9C7B-690A6BC93A9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263-8F46-9C7B-690A6BC93A9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263-8F46-9C7B-690A6BC93A94}"/>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Electronics</c:v>
                </c:pt>
                <c:pt idx="1">
                  <c:v>Fashion</c:v>
                </c:pt>
                <c:pt idx="2">
                  <c:v>Home Decor</c:v>
                </c:pt>
              </c:strCache>
            </c:strRef>
          </c:cat>
          <c:val>
            <c:numRef>
              <c:f>'Pivot Tables'!$B$4:$B$7</c:f>
              <c:numCache>
                <c:formatCode>General</c:formatCode>
                <c:ptCount val="3"/>
                <c:pt idx="0">
                  <c:v>80765</c:v>
                </c:pt>
                <c:pt idx="1">
                  <c:v>24276</c:v>
                </c:pt>
                <c:pt idx="2">
                  <c:v>21714</c:v>
                </c:pt>
              </c:numCache>
            </c:numRef>
          </c:val>
          <c:extLst>
            <c:ext xmlns:c16="http://schemas.microsoft.com/office/drawing/2014/chart" uri="{C3380CC4-5D6E-409C-BE32-E72D297353CC}">
              <c16:uniqueId val="{00000006-E263-8F46-9C7B-690A6BC93A9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Order_status!$D$8</c:f>
              <c:strCache>
                <c:ptCount val="1"/>
                <c:pt idx="0">
                  <c:v>Sum of Quantity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Order_status!$C$9:$C$12</c:f>
              <c:strCache>
                <c:ptCount val="4"/>
                <c:pt idx="0">
                  <c:v>Cancelled</c:v>
                </c:pt>
                <c:pt idx="1">
                  <c:v>Delivered</c:v>
                </c:pt>
                <c:pt idx="2">
                  <c:v>Returned</c:v>
                </c:pt>
                <c:pt idx="3">
                  <c:v>Grand Total</c:v>
                </c:pt>
              </c:strCache>
            </c:strRef>
          </c:cat>
          <c:val>
            <c:numRef>
              <c:f>Order_status!$D$9:$D$12</c:f>
              <c:numCache>
                <c:formatCode>General</c:formatCode>
                <c:ptCount val="4"/>
                <c:pt idx="0">
                  <c:v>1</c:v>
                </c:pt>
                <c:pt idx="1">
                  <c:v>93</c:v>
                </c:pt>
                <c:pt idx="2">
                  <c:v>1</c:v>
                </c:pt>
                <c:pt idx="3">
                  <c:v>95</c:v>
                </c:pt>
              </c:numCache>
            </c:numRef>
          </c:val>
          <c:smooth val="0"/>
          <c:extLst>
            <c:ext xmlns:c16="http://schemas.microsoft.com/office/drawing/2014/chart" uri="{C3380CC4-5D6E-409C-BE32-E72D297353CC}">
              <c16:uniqueId val="{00000000-A1B2-4644-83F5-7D21B9A98046}"/>
            </c:ext>
          </c:extLst>
        </c:ser>
        <c:dLbls>
          <c:dLblPos val="t"/>
          <c:showLegendKey val="0"/>
          <c:showVal val="1"/>
          <c:showCatName val="0"/>
          <c:showSerName val="0"/>
          <c:showPercent val="0"/>
          <c:showBubbleSize val="0"/>
        </c:dLbls>
        <c:smooth val="0"/>
        <c:axId val="1976615808"/>
        <c:axId val="1976621184"/>
      </c:lineChart>
      <c:catAx>
        <c:axId val="197661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621184"/>
        <c:crosses val="autoZero"/>
        <c:auto val="1"/>
        <c:lblAlgn val="ctr"/>
        <c:lblOffset val="100"/>
        <c:noMultiLvlLbl val="0"/>
      </c:catAx>
      <c:valAx>
        <c:axId val="19766211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61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Analytics.xlsx]Cat_Sale_Profit!PivotTable5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And Sales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Cat_Sale_Profit!$C$4</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Cat_Sale_Profit!$B$5:$B$8</c:f>
              <c:strCache>
                <c:ptCount val="3"/>
                <c:pt idx="0">
                  <c:v>Electronics</c:v>
                </c:pt>
                <c:pt idx="1">
                  <c:v>Fashion</c:v>
                </c:pt>
                <c:pt idx="2">
                  <c:v>Home Decor</c:v>
                </c:pt>
              </c:strCache>
            </c:strRef>
          </c:cat>
          <c:val>
            <c:numRef>
              <c:f>Cat_Sale_Profit!$C$5:$C$8</c:f>
              <c:numCache>
                <c:formatCode>General</c:formatCode>
                <c:ptCount val="3"/>
                <c:pt idx="0">
                  <c:v>80765</c:v>
                </c:pt>
                <c:pt idx="1">
                  <c:v>24276</c:v>
                </c:pt>
                <c:pt idx="2">
                  <c:v>21714</c:v>
                </c:pt>
              </c:numCache>
            </c:numRef>
          </c:val>
          <c:extLst>
            <c:ext xmlns:c16="http://schemas.microsoft.com/office/drawing/2014/chart" uri="{C3380CC4-5D6E-409C-BE32-E72D297353CC}">
              <c16:uniqueId val="{00000000-A5F4-FF45-8EAC-5967222DC48E}"/>
            </c:ext>
          </c:extLst>
        </c:ser>
        <c:ser>
          <c:idx val="1"/>
          <c:order val="1"/>
          <c:tx>
            <c:strRef>
              <c:f>Cat_Sale_Profit!$D$4</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Cat_Sale_Profit!$B$5:$B$8</c:f>
              <c:strCache>
                <c:ptCount val="3"/>
                <c:pt idx="0">
                  <c:v>Electronics</c:v>
                </c:pt>
                <c:pt idx="1">
                  <c:v>Fashion</c:v>
                </c:pt>
                <c:pt idx="2">
                  <c:v>Home Decor</c:v>
                </c:pt>
              </c:strCache>
            </c:strRef>
          </c:cat>
          <c:val>
            <c:numRef>
              <c:f>Cat_Sale_Profit!$D$5:$D$8</c:f>
              <c:numCache>
                <c:formatCode>General</c:formatCode>
                <c:ptCount val="3"/>
                <c:pt idx="0">
                  <c:v>14661</c:v>
                </c:pt>
                <c:pt idx="1">
                  <c:v>4850</c:v>
                </c:pt>
                <c:pt idx="2">
                  <c:v>3960</c:v>
                </c:pt>
              </c:numCache>
            </c:numRef>
          </c:val>
          <c:extLst>
            <c:ext xmlns:c16="http://schemas.microsoft.com/office/drawing/2014/chart" uri="{C3380CC4-5D6E-409C-BE32-E72D297353CC}">
              <c16:uniqueId val="{00000001-A5F4-FF45-8EAC-5967222DC48E}"/>
            </c:ext>
          </c:extLst>
        </c:ser>
        <c:dLbls>
          <c:showLegendKey val="0"/>
          <c:showVal val="1"/>
          <c:showCatName val="0"/>
          <c:showSerName val="0"/>
          <c:showPercent val="0"/>
          <c:showBubbleSize val="0"/>
        </c:dLbls>
        <c:gapWidth val="75"/>
        <c:axId val="2072214848"/>
        <c:axId val="2038236032"/>
      </c:barChart>
      <c:catAx>
        <c:axId val="207221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36032"/>
        <c:crosses val="autoZero"/>
        <c:auto val="1"/>
        <c:lblAlgn val="ctr"/>
        <c:lblOffset val="100"/>
        <c:noMultiLvlLbl val="0"/>
      </c:catAx>
      <c:valAx>
        <c:axId val="203823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Analytics.xlsx]sale_by_dis!PivotTable6</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Sales</a:t>
            </a:r>
            <a:r>
              <a:rPr lang="en-GB" baseline="0"/>
              <a:t> By Discount</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sale_by_dis!$D$9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sale_by_dis!$C$10:$C$14</c:f>
              <c:strCache>
                <c:ptCount val="4"/>
                <c:pt idx="0">
                  <c:v>0</c:v>
                </c:pt>
                <c:pt idx="1">
                  <c:v>5</c:v>
                </c:pt>
                <c:pt idx="2">
                  <c:v>8</c:v>
                </c:pt>
                <c:pt idx="3">
                  <c:v>10</c:v>
                </c:pt>
              </c:strCache>
            </c:strRef>
          </c:cat>
          <c:val>
            <c:numRef>
              <c:f>sale_by_dis!$D$10:$D$14</c:f>
              <c:numCache>
                <c:formatCode>General</c:formatCode>
                <c:ptCount val="4"/>
                <c:pt idx="0">
                  <c:v>65</c:v>
                </c:pt>
                <c:pt idx="1">
                  <c:v>22</c:v>
                </c:pt>
                <c:pt idx="2">
                  <c:v>2</c:v>
                </c:pt>
                <c:pt idx="3">
                  <c:v>6</c:v>
                </c:pt>
              </c:numCache>
            </c:numRef>
          </c:val>
          <c:extLst>
            <c:ext xmlns:c16="http://schemas.microsoft.com/office/drawing/2014/chart" uri="{C3380CC4-5D6E-409C-BE32-E72D297353CC}">
              <c16:uniqueId val="{00000000-E467-DC4F-BBCC-553065CFEC76}"/>
            </c:ext>
          </c:extLst>
        </c:ser>
        <c:dLbls>
          <c:showLegendKey val="0"/>
          <c:showVal val="0"/>
          <c:showCatName val="0"/>
          <c:showSerName val="0"/>
          <c:showPercent val="0"/>
          <c:showBubbleSize val="0"/>
        </c:dLbls>
        <c:gapWidth val="75"/>
        <c:overlap val="-25"/>
        <c:axId val="1820446208"/>
        <c:axId val="1820992256"/>
      </c:barChart>
      <c:catAx>
        <c:axId val="18204462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0992256"/>
        <c:crosses val="autoZero"/>
        <c:auto val="1"/>
        <c:lblAlgn val="ctr"/>
        <c:lblOffset val="100"/>
        <c:noMultiLvlLbl val="0"/>
      </c:catAx>
      <c:valAx>
        <c:axId val="18209922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044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Analytics.xlsx]Total_sales_City!PivotTable4</c:name>
    <c:fmtId val="25"/>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Total revenue by cities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Total_sales_City!$C$5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Total_sales_City!$B$6:$B$13</c:f>
              <c:strCache>
                <c:ptCount val="7"/>
                <c:pt idx="0">
                  <c:v>Bangalore</c:v>
                </c:pt>
                <c:pt idx="1">
                  <c:v>Chennai</c:v>
                </c:pt>
                <c:pt idx="2">
                  <c:v>Delhi</c:v>
                </c:pt>
                <c:pt idx="3">
                  <c:v>Hyderabad</c:v>
                </c:pt>
                <c:pt idx="4">
                  <c:v>Kolkata</c:v>
                </c:pt>
                <c:pt idx="5">
                  <c:v>Mumbai</c:v>
                </c:pt>
                <c:pt idx="6">
                  <c:v>Pune</c:v>
                </c:pt>
              </c:strCache>
            </c:strRef>
          </c:cat>
          <c:val>
            <c:numRef>
              <c:f>Total_sales_City!$C$6:$C$13</c:f>
              <c:numCache>
                <c:formatCode>General</c:formatCode>
                <c:ptCount val="7"/>
                <c:pt idx="0">
                  <c:v>17889</c:v>
                </c:pt>
                <c:pt idx="1">
                  <c:v>5937</c:v>
                </c:pt>
                <c:pt idx="2">
                  <c:v>20487</c:v>
                </c:pt>
                <c:pt idx="3">
                  <c:v>24288</c:v>
                </c:pt>
                <c:pt idx="4">
                  <c:v>8585</c:v>
                </c:pt>
                <c:pt idx="5">
                  <c:v>14585</c:v>
                </c:pt>
                <c:pt idx="6">
                  <c:v>34984</c:v>
                </c:pt>
              </c:numCache>
            </c:numRef>
          </c:val>
          <c:extLst>
            <c:ext xmlns:c16="http://schemas.microsoft.com/office/drawing/2014/chart" uri="{C3380CC4-5D6E-409C-BE32-E72D297353CC}">
              <c16:uniqueId val="{00000000-0821-7041-8047-905700BF2977}"/>
            </c:ext>
          </c:extLst>
        </c:ser>
        <c:dLbls>
          <c:dLblPos val="outEnd"/>
          <c:showLegendKey val="0"/>
          <c:showVal val="1"/>
          <c:showCatName val="0"/>
          <c:showSerName val="0"/>
          <c:showPercent val="0"/>
          <c:showBubbleSize val="0"/>
        </c:dLbls>
        <c:gapWidth val="219"/>
        <c:overlap val="-27"/>
        <c:axId val="1989596416"/>
        <c:axId val="1989601792"/>
      </c:barChart>
      <c:catAx>
        <c:axId val="198959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601792"/>
        <c:crosses val="autoZero"/>
        <c:auto val="1"/>
        <c:lblAlgn val="ctr"/>
        <c:lblOffset val="100"/>
        <c:noMultiLvlLbl val="0"/>
      </c:catAx>
      <c:valAx>
        <c:axId val="198960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596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Analytics.xlsx]Payment_method!PivotTable2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a:t>
            </a:r>
            <a:r>
              <a:rPr lang="en-US" baseline="0"/>
              <a:t> </a:t>
            </a:r>
            <a:r>
              <a:rPr lang="en-US"/>
              <a:t>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Payment_method!$C$6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1B04-AF42-AA74-C8A6B24D732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3-1B04-AF42-AA74-C8A6B24D732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5-1B04-AF42-AA74-C8A6B24D73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Payment_method!$B$7:$B$10</c:f>
              <c:strCache>
                <c:ptCount val="3"/>
                <c:pt idx="0">
                  <c:v>Card</c:v>
                </c:pt>
                <c:pt idx="1">
                  <c:v>COD</c:v>
                </c:pt>
                <c:pt idx="2">
                  <c:v>UPI</c:v>
                </c:pt>
              </c:strCache>
            </c:strRef>
          </c:cat>
          <c:val>
            <c:numRef>
              <c:f>Payment_method!$C$7:$C$10</c:f>
              <c:numCache>
                <c:formatCode>General</c:formatCode>
                <c:ptCount val="3"/>
                <c:pt idx="0">
                  <c:v>14</c:v>
                </c:pt>
                <c:pt idx="1">
                  <c:v>16</c:v>
                </c:pt>
                <c:pt idx="2">
                  <c:v>20</c:v>
                </c:pt>
              </c:numCache>
            </c:numRef>
          </c:val>
          <c:extLst>
            <c:ext xmlns:c16="http://schemas.microsoft.com/office/drawing/2014/chart" uri="{C3380CC4-5D6E-409C-BE32-E72D297353CC}">
              <c16:uniqueId val="{00000006-1B04-AF42-AA74-C8A6B24D732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[3.Excel Data Visualization &amp; Pivot Table Analytics.xlsx]Pivot Tables!PivotTable1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Percentage Of Each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hade val="65000"/>
            </a:schemeClr>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tint val="65000"/>
            </a:scheme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hade val="65000"/>
            </a:schemeClr>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tint val="65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hade val="65000"/>
            </a:schemeClr>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tint val="65000"/>
            </a:schemeClr>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hade val="65000"/>
            </a:schemeClr>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tint val="65000"/>
            </a:schemeClr>
          </a:solidFill>
          <a:ln w="19050">
            <a:solidFill>
              <a:schemeClr val="lt1"/>
            </a:solidFill>
          </a:ln>
          <a:effectLst/>
        </c:spPr>
      </c:pivotFmt>
    </c:pivotFmts>
    <c:plotArea>
      <c:layout/>
      <c:doughnutChart>
        <c:varyColors val="1"/>
        <c:ser>
          <c:idx val="0"/>
          <c:order val="0"/>
          <c:tx>
            <c:strRef>
              <c:f>'Pivot Tables'!$B$3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4CD-8047-A4AE-386C4B70E7C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4CD-8047-A4AE-386C4B70E7CB}"/>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4CD-8047-A4AE-386C4B70E7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Electronics</c:v>
                </c:pt>
                <c:pt idx="1">
                  <c:v>Fashion</c:v>
                </c:pt>
                <c:pt idx="2">
                  <c:v>Home Decor</c:v>
                </c:pt>
              </c:strCache>
            </c:strRef>
          </c:cat>
          <c:val>
            <c:numRef>
              <c:f>'Pivot Tables'!$B$4:$B$7</c:f>
              <c:numCache>
                <c:formatCode>General</c:formatCode>
                <c:ptCount val="3"/>
                <c:pt idx="0">
                  <c:v>80765</c:v>
                </c:pt>
                <c:pt idx="1">
                  <c:v>24276</c:v>
                </c:pt>
                <c:pt idx="2">
                  <c:v>21714</c:v>
                </c:pt>
              </c:numCache>
            </c:numRef>
          </c:val>
          <c:extLst>
            <c:ext xmlns:c16="http://schemas.microsoft.com/office/drawing/2014/chart" uri="{C3380CC4-5D6E-409C-BE32-E72D297353CC}">
              <c16:uniqueId val="{00000006-94CD-8047-A4AE-386C4B70E7C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Analytics.xlsx]Order_status!PivotTable7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Order_status!$D$8</c:f>
              <c:strCache>
                <c:ptCount val="1"/>
                <c:pt idx="0">
                  <c:v>Total</c:v>
                </c:pt>
              </c:strCache>
            </c:strRef>
          </c:tx>
          <c:spPr>
            <a:solidFill>
              <a:schemeClr val="accent1"/>
            </a:solidFill>
            <a:ln>
              <a:noFill/>
            </a:ln>
            <a:effectLst/>
          </c:spPr>
          <c:invertIfNegative val="0"/>
          <c:cat>
            <c:strRef>
              <c:f>Order_status!$C$9:$C$12</c:f>
              <c:strCache>
                <c:ptCount val="3"/>
                <c:pt idx="0">
                  <c:v>Cancelled</c:v>
                </c:pt>
                <c:pt idx="1">
                  <c:v>Delivered</c:v>
                </c:pt>
                <c:pt idx="2">
                  <c:v>Returned</c:v>
                </c:pt>
              </c:strCache>
            </c:strRef>
          </c:cat>
          <c:val>
            <c:numRef>
              <c:f>Order_status!$D$9:$D$12</c:f>
              <c:numCache>
                <c:formatCode>General</c:formatCode>
                <c:ptCount val="3"/>
                <c:pt idx="0">
                  <c:v>1</c:v>
                </c:pt>
                <c:pt idx="1">
                  <c:v>93</c:v>
                </c:pt>
                <c:pt idx="2">
                  <c:v>1</c:v>
                </c:pt>
              </c:numCache>
            </c:numRef>
          </c:val>
          <c:extLst>
            <c:ext xmlns:c16="http://schemas.microsoft.com/office/drawing/2014/chart" uri="{C3380CC4-5D6E-409C-BE32-E72D297353CC}">
              <c16:uniqueId val="{00000000-719A-5349-905B-F3C8A06B5075}"/>
            </c:ext>
          </c:extLst>
        </c:ser>
        <c:dLbls>
          <c:showLegendKey val="0"/>
          <c:showVal val="0"/>
          <c:showCatName val="0"/>
          <c:showSerName val="0"/>
          <c:showPercent val="0"/>
          <c:showBubbleSize val="0"/>
        </c:dLbls>
        <c:gapWidth val="219"/>
        <c:overlap val="-27"/>
        <c:axId val="2040772608"/>
        <c:axId val="2040767232"/>
      </c:barChart>
      <c:catAx>
        <c:axId val="2040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67232"/>
        <c:crosses val="autoZero"/>
        <c:auto val="1"/>
        <c:lblAlgn val="ctr"/>
        <c:lblOffset val="100"/>
        <c:noMultiLvlLbl val="0"/>
      </c:catAx>
      <c:valAx>
        <c:axId val="204076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Order_status!$D$8</c:f>
              <c:strCache>
                <c:ptCount val="1"/>
                <c:pt idx="0">
                  <c:v>Sum of Quantity</c:v>
                </c:pt>
              </c:strCache>
            </c:strRef>
          </c:tx>
          <c:spPr>
            <a:ln w="25400" cap="rnd">
              <a:solidFill>
                <a:schemeClr val="lt1"/>
              </a:solidFill>
              <a:round/>
            </a:ln>
            <a:effectLst>
              <a:outerShdw dist="25400" dir="2700000" algn="tl" rotWithShape="0">
                <a:schemeClr val="accent1"/>
              </a:outerShdw>
            </a:effectLst>
          </c:spPr>
          <c:marker>
            <c:symbol val="none"/>
          </c:marker>
          <c:cat>
            <c:strRef>
              <c:f>Order_status!$C$9:$C$12</c:f>
              <c:strCache>
                <c:ptCount val="4"/>
                <c:pt idx="0">
                  <c:v>Cancelled</c:v>
                </c:pt>
                <c:pt idx="1">
                  <c:v>Delivered</c:v>
                </c:pt>
                <c:pt idx="2">
                  <c:v>Returned</c:v>
                </c:pt>
                <c:pt idx="3">
                  <c:v>Grand Total</c:v>
                </c:pt>
              </c:strCache>
            </c:strRef>
          </c:cat>
          <c:val>
            <c:numRef>
              <c:f>Order_status!$D$9:$D$12</c:f>
              <c:numCache>
                <c:formatCode>General</c:formatCode>
                <c:ptCount val="4"/>
                <c:pt idx="0">
                  <c:v>1</c:v>
                </c:pt>
                <c:pt idx="1">
                  <c:v>93</c:v>
                </c:pt>
                <c:pt idx="2">
                  <c:v>1</c:v>
                </c:pt>
                <c:pt idx="3">
                  <c:v>95</c:v>
                </c:pt>
              </c:numCache>
            </c:numRef>
          </c:val>
          <c:smooth val="0"/>
          <c:extLst>
            <c:ext xmlns:c16="http://schemas.microsoft.com/office/drawing/2014/chart" uri="{C3380CC4-5D6E-409C-BE32-E72D297353CC}">
              <c16:uniqueId val="{00000000-88E8-3241-B03F-196D6EA5AD4A}"/>
            </c:ext>
          </c:extLst>
        </c:ser>
        <c:dLbls>
          <c:showLegendKey val="0"/>
          <c:showVal val="0"/>
          <c:showCatName val="0"/>
          <c:showSerName val="0"/>
          <c:showPercent val="0"/>
          <c:showBubbleSize val="0"/>
        </c:dLbls>
        <c:smooth val="0"/>
        <c:axId val="1976615808"/>
        <c:axId val="1976621184"/>
      </c:lineChart>
      <c:catAx>
        <c:axId val="197661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6621184"/>
        <c:crosses val="autoZero"/>
        <c:auto val="1"/>
        <c:lblAlgn val="ctr"/>
        <c:lblOffset val="100"/>
        <c:noMultiLvlLbl val="0"/>
      </c:catAx>
      <c:valAx>
        <c:axId val="1976621184"/>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97661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[3.Excel Data Visualization &amp; Pivot Table Analytics.xlsx]Cat_Sale_Profit!PivotTable5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Cat_Sale_Profit!$C$4</c:f>
              <c:strCache>
                <c:ptCount val="1"/>
                <c:pt idx="0">
                  <c:v>Sum of Total Sales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Cat_Sale_Profit!$B$5:$B$8</c:f>
              <c:strCache>
                <c:ptCount val="3"/>
                <c:pt idx="0">
                  <c:v>Electronics</c:v>
                </c:pt>
                <c:pt idx="1">
                  <c:v>Fashion</c:v>
                </c:pt>
                <c:pt idx="2">
                  <c:v>Home Decor</c:v>
                </c:pt>
              </c:strCache>
            </c:strRef>
          </c:cat>
          <c:val>
            <c:numRef>
              <c:f>Cat_Sale_Profit!$C$5:$C$8</c:f>
              <c:numCache>
                <c:formatCode>General</c:formatCode>
                <c:ptCount val="3"/>
                <c:pt idx="0">
                  <c:v>80765</c:v>
                </c:pt>
                <c:pt idx="1">
                  <c:v>24276</c:v>
                </c:pt>
                <c:pt idx="2">
                  <c:v>21714</c:v>
                </c:pt>
              </c:numCache>
            </c:numRef>
          </c:val>
          <c:extLst>
            <c:ext xmlns:c16="http://schemas.microsoft.com/office/drawing/2014/chart" uri="{C3380CC4-5D6E-409C-BE32-E72D297353CC}">
              <c16:uniqueId val="{00000000-540F-434A-B783-215B99C1B237}"/>
            </c:ext>
          </c:extLst>
        </c:ser>
        <c:ser>
          <c:idx val="1"/>
          <c:order val="1"/>
          <c:tx>
            <c:strRef>
              <c:f>Cat_Sale_Profit!$D$4</c:f>
              <c:strCache>
                <c:ptCount val="1"/>
                <c:pt idx="0">
                  <c:v>Sum of Profit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Cat_Sale_Profit!$B$5:$B$8</c:f>
              <c:strCache>
                <c:ptCount val="3"/>
                <c:pt idx="0">
                  <c:v>Electronics</c:v>
                </c:pt>
                <c:pt idx="1">
                  <c:v>Fashion</c:v>
                </c:pt>
                <c:pt idx="2">
                  <c:v>Home Decor</c:v>
                </c:pt>
              </c:strCache>
            </c:strRef>
          </c:cat>
          <c:val>
            <c:numRef>
              <c:f>Cat_Sale_Profit!$D$5:$D$8</c:f>
              <c:numCache>
                <c:formatCode>General</c:formatCode>
                <c:ptCount val="3"/>
                <c:pt idx="0">
                  <c:v>14661</c:v>
                </c:pt>
                <c:pt idx="1">
                  <c:v>4850</c:v>
                </c:pt>
                <c:pt idx="2">
                  <c:v>3960</c:v>
                </c:pt>
              </c:numCache>
            </c:numRef>
          </c:val>
          <c:extLst>
            <c:ext xmlns:c16="http://schemas.microsoft.com/office/drawing/2014/chart" uri="{C3380CC4-5D6E-409C-BE32-E72D297353CC}">
              <c16:uniqueId val="{00000001-540F-434A-B783-215B99C1B237}"/>
            </c:ext>
          </c:extLst>
        </c:ser>
        <c:dLbls>
          <c:showLegendKey val="0"/>
          <c:showVal val="1"/>
          <c:showCatName val="0"/>
          <c:showSerName val="0"/>
          <c:showPercent val="0"/>
          <c:showBubbleSize val="0"/>
        </c:dLbls>
        <c:gapWidth val="75"/>
        <c:axId val="2072214848"/>
        <c:axId val="2038236032"/>
      </c:barChart>
      <c:catAx>
        <c:axId val="207221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36032"/>
        <c:crosses val="autoZero"/>
        <c:auto val="1"/>
        <c:lblAlgn val="ctr"/>
        <c:lblOffset val="100"/>
        <c:noMultiLvlLbl val="0"/>
      </c:catAx>
      <c:valAx>
        <c:axId val="203823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Analytics.xlsx]sale_by_dis!PivotTable6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Chart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sale_by_dis!$D$9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sale_by_dis!$C$10:$C$14</c:f>
              <c:strCache>
                <c:ptCount val="4"/>
                <c:pt idx="0">
                  <c:v>0</c:v>
                </c:pt>
                <c:pt idx="1">
                  <c:v>5</c:v>
                </c:pt>
                <c:pt idx="2">
                  <c:v>8</c:v>
                </c:pt>
                <c:pt idx="3">
                  <c:v>10</c:v>
                </c:pt>
              </c:strCache>
            </c:strRef>
          </c:cat>
          <c:val>
            <c:numRef>
              <c:f>sale_by_dis!$D$10:$D$14</c:f>
              <c:numCache>
                <c:formatCode>General</c:formatCode>
                <c:ptCount val="4"/>
                <c:pt idx="0">
                  <c:v>65</c:v>
                </c:pt>
                <c:pt idx="1">
                  <c:v>22</c:v>
                </c:pt>
                <c:pt idx="2">
                  <c:v>2</c:v>
                </c:pt>
                <c:pt idx="3">
                  <c:v>6</c:v>
                </c:pt>
              </c:numCache>
            </c:numRef>
          </c:val>
          <c:extLst>
            <c:ext xmlns:c16="http://schemas.microsoft.com/office/drawing/2014/chart" uri="{C3380CC4-5D6E-409C-BE32-E72D297353CC}">
              <c16:uniqueId val="{00000002-1D98-5D4B-83BA-604CC20C56C6}"/>
            </c:ext>
          </c:extLst>
        </c:ser>
        <c:dLbls>
          <c:showLegendKey val="0"/>
          <c:showVal val="0"/>
          <c:showCatName val="0"/>
          <c:showSerName val="0"/>
          <c:showPercent val="0"/>
          <c:showBubbleSize val="0"/>
        </c:dLbls>
        <c:gapWidth val="75"/>
        <c:overlap val="-25"/>
        <c:axId val="1820446208"/>
        <c:axId val="1820992256"/>
      </c:barChart>
      <c:catAx>
        <c:axId val="18204462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0992256"/>
        <c:crosses val="autoZero"/>
        <c:auto val="1"/>
        <c:lblAlgn val="ctr"/>
        <c:lblOffset val="100"/>
        <c:noMultiLvlLbl val="0"/>
      </c:catAx>
      <c:valAx>
        <c:axId val="18209922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044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[3.Excel Data Visualization &amp; Pivot Table Analytics.xlsx]Total_sales_City!PivotTable4</c:name>
    <c:fmtId val="20"/>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Total revenue by cities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Total_sales_City!$C$5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Total_sales_City!$B$6:$B$13</c:f>
              <c:strCache>
                <c:ptCount val="7"/>
                <c:pt idx="0">
                  <c:v>Bangalore</c:v>
                </c:pt>
                <c:pt idx="1">
                  <c:v>Chennai</c:v>
                </c:pt>
                <c:pt idx="2">
                  <c:v>Delhi</c:v>
                </c:pt>
                <c:pt idx="3">
                  <c:v>Hyderabad</c:v>
                </c:pt>
                <c:pt idx="4">
                  <c:v>Kolkata</c:v>
                </c:pt>
                <c:pt idx="5">
                  <c:v>Mumbai</c:v>
                </c:pt>
                <c:pt idx="6">
                  <c:v>Pune</c:v>
                </c:pt>
              </c:strCache>
            </c:strRef>
          </c:cat>
          <c:val>
            <c:numRef>
              <c:f>Total_sales_City!$C$6:$C$13</c:f>
              <c:numCache>
                <c:formatCode>General</c:formatCode>
                <c:ptCount val="7"/>
                <c:pt idx="0">
                  <c:v>17889</c:v>
                </c:pt>
                <c:pt idx="1">
                  <c:v>5937</c:v>
                </c:pt>
                <c:pt idx="2">
                  <c:v>20487</c:v>
                </c:pt>
                <c:pt idx="3">
                  <c:v>24288</c:v>
                </c:pt>
                <c:pt idx="4">
                  <c:v>8585</c:v>
                </c:pt>
                <c:pt idx="5">
                  <c:v>14585</c:v>
                </c:pt>
                <c:pt idx="6">
                  <c:v>34984</c:v>
                </c:pt>
              </c:numCache>
            </c:numRef>
          </c:val>
          <c:extLst>
            <c:ext xmlns:c16="http://schemas.microsoft.com/office/drawing/2014/chart" uri="{C3380CC4-5D6E-409C-BE32-E72D297353CC}">
              <c16:uniqueId val="{00000000-FA34-C04C-99BB-EBE7DAC2B49D}"/>
            </c:ext>
          </c:extLst>
        </c:ser>
        <c:dLbls>
          <c:dLblPos val="outEnd"/>
          <c:showLegendKey val="0"/>
          <c:showVal val="1"/>
          <c:showCatName val="0"/>
          <c:showSerName val="0"/>
          <c:showPercent val="0"/>
          <c:showBubbleSize val="0"/>
        </c:dLbls>
        <c:gapWidth val="219"/>
        <c:overlap val="-27"/>
        <c:axId val="1989596416"/>
        <c:axId val="1989601792"/>
      </c:barChart>
      <c:catAx>
        <c:axId val="198959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601792"/>
        <c:crosses val="autoZero"/>
        <c:auto val="1"/>
        <c:lblAlgn val="ctr"/>
        <c:lblOffset val="100"/>
        <c:noMultiLvlLbl val="0"/>
      </c:catAx>
      <c:valAx>
        <c:axId val="198960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9596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[3.Excel Data Visualization &amp; Pivot Table Analytics.xlsx]Payment_method!PivotTable2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Payment_method!$C$6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2-0143-EC48-BB95-9FBF0F1BC2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143-EC48-BB95-9FBF0F1BC2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4-0143-EC48-BB95-9FBF0F1BC2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Payment_method!$B$7:$B$10</c:f>
              <c:strCache>
                <c:ptCount val="3"/>
                <c:pt idx="0">
                  <c:v>Card</c:v>
                </c:pt>
                <c:pt idx="1">
                  <c:v>COD</c:v>
                </c:pt>
                <c:pt idx="2">
                  <c:v>UPI</c:v>
                </c:pt>
              </c:strCache>
            </c:strRef>
          </c:cat>
          <c:val>
            <c:numRef>
              <c:f>Payment_method!$C$7:$C$10</c:f>
              <c:numCache>
                <c:formatCode>General</c:formatCode>
                <c:ptCount val="3"/>
                <c:pt idx="0">
                  <c:v>14</c:v>
                </c:pt>
                <c:pt idx="1">
                  <c:v>16</c:v>
                </c:pt>
                <c:pt idx="2">
                  <c:v>20</c:v>
                </c:pt>
              </c:numCache>
            </c:numRef>
          </c:val>
          <c:extLst>
            <c:ext xmlns:c16="http://schemas.microsoft.com/office/drawing/2014/chart" uri="{C3380CC4-5D6E-409C-BE32-E72D297353CC}">
              <c16:uniqueId val="{00000000-0143-EC48-BB95-9FBF0F1BC229}"/>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18" Type="http://schemas.openxmlformats.org/officeDocument/2006/relationships/hyperlink" Target="https://svgsilh.com/fr/image/1633249.html" TargetMode="Externa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https://svgsilh.com/image/40016.html" TargetMode="External"/><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hyperlink" Target="https://ar.inspiredpencil.com/pictures-2023/consumer-icon-white" TargetMode="Externa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https://svgsilh.com/image/1641857.html" TargetMode="External"/><Relationship Id="rId1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88900</xdr:colOff>
      <xdr:row>51</xdr:row>
      <xdr:rowOff>187452</xdr:rowOff>
    </xdr:to>
    <xdr:sp macro="" textlink="">
      <xdr:nvSpPr>
        <xdr:cNvPr id="5" name="Rectangle 4">
          <a:extLst>
            <a:ext uri="{FF2B5EF4-FFF2-40B4-BE49-F238E27FC236}">
              <a16:creationId xmlns:a16="http://schemas.microsoft.com/office/drawing/2014/main" id="{72796DDE-5E52-B1AB-3094-0D1E641445FD}"/>
            </a:ext>
          </a:extLst>
        </xdr:cNvPr>
        <xdr:cNvSpPr/>
      </xdr:nvSpPr>
      <xdr:spPr>
        <a:xfrm>
          <a:off x="0" y="0"/>
          <a:ext cx="17970500" cy="10550652"/>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2</xdr:col>
      <xdr:colOff>376995</xdr:colOff>
      <xdr:row>3</xdr:row>
      <xdr:rowOff>1686</xdr:rowOff>
    </xdr:from>
    <xdr:to>
      <xdr:col>22</xdr:col>
      <xdr:colOff>58646</xdr:colOff>
      <xdr:row>50</xdr:row>
      <xdr:rowOff>109589</xdr:rowOff>
    </xdr:to>
    <xdr:sp macro="" textlink="">
      <xdr:nvSpPr>
        <xdr:cNvPr id="6" name="Round Diagonal Corner of Rectangle 5">
          <a:extLst>
            <a:ext uri="{FF2B5EF4-FFF2-40B4-BE49-F238E27FC236}">
              <a16:creationId xmlns:a16="http://schemas.microsoft.com/office/drawing/2014/main" id="{E56DB816-4BED-EB10-A117-4E9A48373EC9}"/>
            </a:ext>
          </a:extLst>
        </xdr:cNvPr>
        <xdr:cNvSpPr/>
      </xdr:nvSpPr>
      <xdr:spPr>
        <a:xfrm rot="16200000">
          <a:off x="5503331" y="-2912392"/>
          <a:ext cx="9093495" cy="16068747"/>
        </a:xfrm>
        <a:prstGeom prst="round2Diag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0</xdr:col>
      <xdr:colOff>391204</xdr:colOff>
      <xdr:row>3</xdr:row>
      <xdr:rowOff>47791</xdr:rowOff>
    </xdr:from>
    <xdr:to>
      <xdr:col>2</xdr:col>
      <xdr:colOff>46753</xdr:colOff>
      <xdr:row>6</xdr:row>
      <xdr:rowOff>49641</xdr:rowOff>
    </xdr:to>
    <xdr:sp macro="" textlink="">
      <xdr:nvSpPr>
        <xdr:cNvPr id="8" name="TextBox 7">
          <a:extLst>
            <a:ext uri="{FF2B5EF4-FFF2-40B4-BE49-F238E27FC236}">
              <a16:creationId xmlns:a16="http://schemas.microsoft.com/office/drawing/2014/main" id="{C56BA25B-33AB-8AE5-A90D-FAAD67A72034}"/>
            </a:ext>
          </a:extLst>
        </xdr:cNvPr>
        <xdr:cNvSpPr txBox="1"/>
      </xdr:nvSpPr>
      <xdr:spPr>
        <a:xfrm>
          <a:off x="391204" y="619291"/>
          <a:ext cx="1306549" cy="57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Cities</a:t>
          </a:r>
        </a:p>
      </xdr:txBody>
    </xdr:sp>
    <xdr:clientData/>
  </xdr:twoCellAnchor>
  <xdr:twoCellAnchor>
    <xdr:from>
      <xdr:col>0</xdr:col>
      <xdr:colOff>391204</xdr:colOff>
      <xdr:row>16</xdr:row>
      <xdr:rowOff>160971</xdr:rowOff>
    </xdr:from>
    <xdr:to>
      <xdr:col>2</xdr:col>
      <xdr:colOff>46753</xdr:colOff>
      <xdr:row>19</xdr:row>
      <xdr:rowOff>162821</xdr:rowOff>
    </xdr:to>
    <xdr:sp macro="" textlink="">
      <xdr:nvSpPr>
        <xdr:cNvPr id="9" name="TextBox 8">
          <a:extLst>
            <a:ext uri="{FF2B5EF4-FFF2-40B4-BE49-F238E27FC236}">
              <a16:creationId xmlns:a16="http://schemas.microsoft.com/office/drawing/2014/main" id="{FA794DC3-6C96-5D49-B09A-28ACB295BED3}"/>
            </a:ext>
          </a:extLst>
        </xdr:cNvPr>
        <xdr:cNvSpPr txBox="1"/>
      </xdr:nvSpPr>
      <xdr:spPr>
        <a:xfrm>
          <a:off x="391204" y="3208971"/>
          <a:ext cx="1306549" cy="57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Sales</a:t>
          </a:r>
        </a:p>
      </xdr:txBody>
    </xdr:sp>
    <xdr:clientData/>
  </xdr:twoCellAnchor>
  <xdr:twoCellAnchor>
    <xdr:from>
      <xdr:col>0</xdr:col>
      <xdr:colOff>168954</xdr:colOff>
      <xdr:row>23</xdr:row>
      <xdr:rowOff>58226</xdr:rowOff>
    </xdr:from>
    <xdr:to>
      <xdr:col>2</xdr:col>
      <xdr:colOff>272829</xdr:colOff>
      <xdr:row>26</xdr:row>
      <xdr:rowOff>55736</xdr:rowOff>
    </xdr:to>
    <xdr:sp macro="" textlink="">
      <xdr:nvSpPr>
        <xdr:cNvPr id="10" name="TextBox 9">
          <a:extLst>
            <a:ext uri="{FF2B5EF4-FFF2-40B4-BE49-F238E27FC236}">
              <a16:creationId xmlns:a16="http://schemas.microsoft.com/office/drawing/2014/main" id="{CCCD9C70-AE59-194E-8C78-10B05630C697}"/>
            </a:ext>
          </a:extLst>
        </xdr:cNvPr>
        <xdr:cNvSpPr txBox="1"/>
      </xdr:nvSpPr>
      <xdr:spPr>
        <a:xfrm>
          <a:off x="168954" y="4439726"/>
          <a:ext cx="1754875" cy="569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Total</a:t>
          </a:r>
          <a:r>
            <a:rPr lang="en-GB" sz="2000" b="1" baseline="0">
              <a:latin typeface="Arial" panose="020B0604020202020204" pitchFamily="34" charset="0"/>
              <a:cs typeface="Arial" panose="020B0604020202020204" pitchFamily="34" charset="0"/>
            </a:rPr>
            <a:t> </a:t>
          </a:r>
          <a:r>
            <a:rPr lang="en-GB" sz="2000" b="1">
              <a:latin typeface="Arial" panose="020B0604020202020204" pitchFamily="34" charset="0"/>
              <a:cs typeface="Arial" panose="020B0604020202020204" pitchFamily="34" charset="0"/>
            </a:rPr>
            <a:t>Orders</a:t>
          </a:r>
        </a:p>
      </xdr:txBody>
    </xdr:sp>
    <xdr:clientData/>
  </xdr:twoCellAnchor>
  <xdr:twoCellAnchor>
    <xdr:from>
      <xdr:col>4</xdr:col>
      <xdr:colOff>307138</xdr:colOff>
      <xdr:row>9</xdr:row>
      <xdr:rowOff>103672</xdr:rowOff>
    </xdr:from>
    <xdr:to>
      <xdr:col>9</xdr:col>
      <xdr:colOff>790991</xdr:colOff>
      <xdr:row>27</xdr:row>
      <xdr:rowOff>21802</xdr:rowOff>
    </xdr:to>
    <xdr:sp macro="" textlink="">
      <xdr:nvSpPr>
        <xdr:cNvPr id="12" name="Rounded Rectangle 11">
          <a:extLst>
            <a:ext uri="{FF2B5EF4-FFF2-40B4-BE49-F238E27FC236}">
              <a16:creationId xmlns:a16="http://schemas.microsoft.com/office/drawing/2014/main" id="{89B51D0B-F32F-E668-E51E-ABAC7D23C6E3}"/>
            </a:ext>
          </a:extLst>
        </xdr:cNvPr>
        <xdr:cNvSpPr/>
      </xdr:nvSpPr>
      <xdr:spPr>
        <a:xfrm>
          <a:off x="3609138" y="1818172"/>
          <a:ext cx="4611353" cy="3347130"/>
        </a:xfrm>
        <a:prstGeom prst="roundRect">
          <a:avLst/>
        </a:prstGeom>
        <a:solidFill>
          <a:schemeClr val="accent1">
            <a:lumMod val="60000"/>
            <a:lumOff val="4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0</xdr:col>
      <xdr:colOff>391204</xdr:colOff>
      <xdr:row>26</xdr:row>
      <xdr:rowOff>98585</xdr:rowOff>
    </xdr:from>
    <xdr:to>
      <xdr:col>2</xdr:col>
      <xdr:colOff>46753</xdr:colOff>
      <xdr:row>29</xdr:row>
      <xdr:rowOff>100435</xdr:rowOff>
    </xdr:to>
    <xdr:sp macro="" textlink="'KPIs Card'!H4">
      <xdr:nvSpPr>
        <xdr:cNvPr id="14" name="TextBox 13">
          <a:extLst>
            <a:ext uri="{FF2B5EF4-FFF2-40B4-BE49-F238E27FC236}">
              <a16:creationId xmlns:a16="http://schemas.microsoft.com/office/drawing/2014/main" id="{834C4B6D-F039-D747-91C8-6D916BEE7E84}"/>
            </a:ext>
          </a:extLst>
        </xdr:cNvPr>
        <xdr:cNvSpPr txBox="1"/>
      </xdr:nvSpPr>
      <xdr:spPr>
        <a:xfrm>
          <a:off x="391204" y="5051585"/>
          <a:ext cx="1306549" cy="57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B59D2E-0657-5342-80F3-AFF4F12002BE}" type="TxLink">
            <a:rPr lang="en-US" sz="2200" b="1" i="0" u="none" strike="noStrike">
              <a:solidFill>
                <a:schemeClr val="bg1"/>
              </a:solidFill>
              <a:latin typeface="Calibri"/>
              <a:ea typeface="+mn-ea"/>
              <a:cs typeface="Calibri"/>
            </a:rPr>
            <a:pPr marL="0" indent="0" algn="ctr"/>
            <a:t>95</a:t>
          </a:fld>
          <a:endParaRPr lang="en-GB" sz="2200" b="1" i="0" u="none" strike="noStrike">
            <a:solidFill>
              <a:schemeClr val="bg1"/>
            </a:solidFill>
            <a:latin typeface="Calibri"/>
            <a:ea typeface="+mn-ea"/>
            <a:cs typeface="Calibri"/>
          </a:endParaRPr>
        </a:p>
      </xdr:txBody>
    </xdr:sp>
    <xdr:clientData/>
  </xdr:twoCellAnchor>
  <xdr:twoCellAnchor>
    <xdr:from>
      <xdr:col>0</xdr:col>
      <xdr:colOff>403905</xdr:colOff>
      <xdr:row>5</xdr:row>
      <xdr:rowOff>102310</xdr:rowOff>
    </xdr:from>
    <xdr:to>
      <xdr:col>2</xdr:col>
      <xdr:colOff>33836</xdr:colOff>
      <xdr:row>17</xdr:row>
      <xdr:rowOff>47728</xdr:rowOff>
    </xdr:to>
    <xdr:sp macro="" textlink="">
      <xdr:nvSpPr>
        <xdr:cNvPr id="19" name="TextBox 18">
          <a:extLst>
            <a:ext uri="{FF2B5EF4-FFF2-40B4-BE49-F238E27FC236}">
              <a16:creationId xmlns:a16="http://schemas.microsoft.com/office/drawing/2014/main" id="{6F1C93AE-88C8-B31A-2D9C-B374073F7748}"/>
            </a:ext>
          </a:extLst>
        </xdr:cNvPr>
        <xdr:cNvSpPr txBox="1"/>
      </xdr:nvSpPr>
      <xdr:spPr>
        <a:xfrm>
          <a:off x="403905" y="1054810"/>
          <a:ext cx="1280931" cy="2231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Bangalore </a:t>
          </a:r>
        </a:p>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Chennai </a:t>
          </a:r>
        </a:p>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Delhi </a:t>
          </a:r>
        </a:p>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Hyderabad </a:t>
          </a:r>
        </a:p>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Kolkata </a:t>
          </a:r>
        </a:p>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Mumbai </a:t>
          </a:r>
        </a:p>
        <a:p>
          <a:pPr marL="0" marR="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latin typeface="Arial" panose="020B0604020202020204" pitchFamily="34" charset="0"/>
              <a:cs typeface="Arial" panose="020B0604020202020204" pitchFamily="34" charset="0"/>
            </a:rPr>
            <a:t>Pune</a:t>
          </a:r>
        </a:p>
      </xdr:txBody>
    </xdr:sp>
    <xdr:clientData/>
  </xdr:twoCellAnchor>
  <xdr:twoCellAnchor>
    <xdr:from>
      <xdr:col>0</xdr:col>
      <xdr:colOff>168954</xdr:colOff>
      <xdr:row>29</xdr:row>
      <xdr:rowOff>142450</xdr:rowOff>
    </xdr:from>
    <xdr:to>
      <xdr:col>2</xdr:col>
      <xdr:colOff>272829</xdr:colOff>
      <xdr:row>32</xdr:row>
      <xdr:rowOff>139960</xdr:rowOff>
    </xdr:to>
    <xdr:sp macro="" textlink="">
      <xdr:nvSpPr>
        <xdr:cNvPr id="20" name="TextBox 19">
          <a:extLst>
            <a:ext uri="{FF2B5EF4-FFF2-40B4-BE49-F238E27FC236}">
              <a16:creationId xmlns:a16="http://schemas.microsoft.com/office/drawing/2014/main" id="{5C844D6B-1BC4-6A4E-B8EA-70C99518D3D8}"/>
            </a:ext>
          </a:extLst>
        </xdr:cNvPr>
        <xdr:cNvSpPr txBox="1"/>
      </xdr:nvSpPr>
      <xdr:spPr>
        <a:xfrm>
          <a:off x="168954" y="5666950"/>
          <a:ext cx="1754875" cy="569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Total</a:t>
          </a:r>
          <a:r>
            <a:rPr lang="en-GB" sz="2000" b="1" baseline="0">
              <a:latin typeface="Arial" panose="020B0604020202020204" pitchFamily="34" charset="0"/>
              <a:cs typeface="Arial" panose="020B0604020202020204" pitchFamily="34" charset="0"/>
            </a:rPr>
            <a:t> </a:t>
          </a:r>
          <a:r>
            <a:rPr lang="en-GB" sz="2000" b="1">
              <a:latin typeface="Arial" panose="020B0604020202020204" pitchFamily="34" charset="0"/>
              <a:cs typeface="Arial" panose="020B0604020202020204" pitchFamily="34" charset="0"/>
            </a:rPr>
            <a:t>Profits</a:t>
          </a:r>
        </a:p>
      </xdr:txBody>
    </xdr:sp>
    <xdr:clientData/>
  </xdr:twoCellAnchor>
  <xdr:twoCellAnchor>
    <xdr:from>
      <xdr:col>0</xdr:col>
      <xdr:colOff>168954</xdr:colOff>
      <xdr:row>36</xdr:row>
      <xdr:rowOff>36174</xdr:rowOff>
    </xdr:from>
    <xdr:to>
      <xdr:col>2</xdr:col>
      <xdr:colOff>272829</xdr:colOff>
      <xdr:row>39</xdr:row>
      <xdr:rowOff>33684</xdr:rowOff>
    </xdr:to>
    <xdr:sp macro="" textlink="">
      <xdr:nvSpPr>
        <xdr:cNvPr id="26" name="TextBox 25">
          <a:extLst>
            <a:ext uri="{FF2B5EF4-FFF2-40B4-BE49-F238E27FC236}">
              <a16:creationId xmlns:a16="http://schemas.microsoft.com/office/drawing/2014/main" id="{FF3D42E6-4B38-7847-81A3-7D6C675A9A61}"/>
            </a:ext>
          </a:extLst>
        </xdr:cNvPr>
        <xdr:cNvSpPr txBox="1"/>
      </xdr:nvSpPr>
      <xdr:spPr>
        <a:xfrm>
          <a:off x="168954" y="6894174"/>
          <a:ext cx="1754875" cy="569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Customers</a:t>
          </a:r>
        </a:p>
      </xdr:txBody>
    </xdr:sp>
    <xdr:clientData/>
  </xdr:twoCellAnchor>
  <xdr:twoCellAnchor>
    <xdr:from>
      <xdr:col>0</xdr:col>
      <xdr:colOff>391204</xdr:colOff>
      <xdr:row>32</xdr:row>
      <xdr:rowOff>182809</xdr:rowOff>
    </xdr:from>
    <xdr:to>
      <xdr:col>2</xdr:col>
      <xdr:colOff>46753</xdr:colOff>
      <xdr:row>35</xdr:row>
      <xdr:rowOff>184659</xdr:rowOff>
    </xdr:to>
    <xdr:sp macro="" textlink="'KPIs Card'!G4">
      <xdr:nvSpPr>
        <xdr:cNvPr id="21" name="TextBox 20">
          <a:extLst>
            <a:ext uri="{FF2B5EF4-FFF2-40B4-BE49-F238E27FC236}">
              <a16:creationId xmlns:a16="http://schemas.microsoft.com/office/drawing/2014/main" id="{D7031FE7-5A07-A749-AF6E-156AA3F1993B}"/>
            </a:ext>
          </a:extLst>
        </xdr:cNvPr>
        <xdr:cNvSpPr txBox="1"/>
      </xdr:nvSpPr>
      <xdr:spPr>
        <a:xfrm>
          <a:off x="391204" y="6278809"/>
          <a:ext cx="1306549" cy="57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fld id="{0FA1FD42-DB7D-3B41-952F-CCB7BE76B1F3}" type="TxLink">
            <a:rPr lang="en-US" sz="2200" b="1" i="0" u="none" strike="noStrike">
              <a:solidFill>
                <a:schemeClr val="bg1"/>
              </a:solidFill>
              <a:latin typeface="Calibri"/>
              <a:ea typeface="+mn-ea"/>
              <a:cs typeface="Calibri"/>
            </a:rPr>
            <a:pPr marL="0" marR="0" indent="0" algn="ctr" defTabSz="914400" eaLnBrk="1" fontAlgn="auto" latinLnBrk="0" hangingPunct="1">
              <a:lnSpc>
                <a:spcPct val="100000"/>
              </a:lnSpc>
              <a:spcBef>
                <a:spcPts val="0"/>
              </a:spcBef>
              <a:spcAft>
                <a:spcPts val="0"/>
              </a:spcAft>
              <a:buClrTx/>
              <a:buSzTx/>
              <a:buFontTx/>
              <a:buNone/>
              <a:tabLst/>
              <a:defRPr/>
            </a:pPr>
            <a:t>23,471</a:t>
          </a:fld>
          <a:endParaRPr lang="en-GB" sz="2200" b="1" i="0" u="none" strike="noStrike">
            <a:solidFill>
              <a:schemeClr val="bg1"/>
            </a:solidFill>
            <a:latin typeface="Calibri"/>
            <a:ea typeface="+mn-ea"/>
            <a:cs typeface="Calibri"/>
          </a:endParaRPr>
        </a:p>
      </xdr:txBody>
    </xdr:sp>
    <xdr:clientData/>
  </xdr:twoCellAnchor>
  <xdr:twoCellAnchor>
    <xdr:from>
      <xdr:col>0</xdr:col>
      <xdr:colOff>391204</xdr:colOff>
      <xdr:row>20</xdr:row>
      <xdr:rowOff>14361</xdr:rowOff>
    </xdr:from>
    <xdr:to>
      <xdr:col>2</xdr:col>
      <xdr:colOff>46753</xdr:colOff>
      <xdr:row>23</xdr:row>
      <xdr:rowOff>16211</xdr:rowOff>
    </xdr:to>
    <xdr:sp macro="" textlink="'KPIs Card'!F4">
      <xdr:nvSpPr>
        <xdr:cNvPr id="22" name="TextBox 21">
          <a:extLst>
            <a:ext uri="{FF2B5EF4-FFF2-40B4-BE49-F238E27FC236}">
              <a16:creationId xmlns:a16="http://schemas.microsoft.com/office/drawing/2014/main" id="{E45D9F62-0115-A443-9D7B-7BFEB35E3133}"/>
            </a:ext>
          </a:extLst>
        </xdr:cNvPr>
        <xdr:cNvSpPr txBox="1"/>
      </xdr:nvSpPr>
      <xdr:spPr>
        <a:xfrm>
          <a:off x="391204" y="3824361"/>
          <a:ext cx="1306549" cy="57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2B2D2D-885B-7E47-9633-52F182B82BE2}" type="TxLink">
            <a:rPr lang="en-US" sz="2200" b="1" i="0" u="none" strike="noStrike">
              <a:solidFill>
                <a:schemeClr val="bg1"/>
              </a:solidFill>
              <a:latin typeface="Calibri"/>
              <a:cs typeface="Calibri"/>
            </a:rPr>
            <a:pPr algn="ctr"/>
            <a:t>1,26,755</a:t>
          </a:fld>
          <a:endParaRPr lang="en-GB" sz="22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391204</xdr:colOff>
      <xdr:row>39</xdr:row>
      <xdr:rowOff>76533</xdr:rowOff>
    </xdr:from>
    <xdr:to>
      <xdr:col>2</xdr:col>
      <xdr:colOff>46753</xdr:colOff>
      <xdr:row>42</xdr:row>
      <xdr:rowOff>78383</xdr:rowOff>
    </xdr:to>
    <xdr:sp macro="" textlink="'KPIs Card'!I4">
      <xdr:nvSpPr>
        <xdr:cNvPr id="27" name="TextBox 26">
          <a:extLst>
            <a:ext uri="{FF2B5EF4-FFF2-40B4-BE49-F238E27FC236}">
              <a16:creationId xmlns:a16="http://schemas.microsoft.com/office/drawing/2014/main" id="{4DD73626-D088-084B-83A4-89A61E3125A2}"/>
            </a:ext>
          </a:extLst>
        </xdr:cNvPr>
        <xdr:cNvSpPr txBox="1"/>
      </xdr:nvSpPr>
      <xdr:spPr>
        <a:xfrm>
          <a:off x="391204" y="7506033"/>
          <a:ext cx="1306549" cy="57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fld id="{3C31F13E-5B29-D145-9960-CF8C998EEA68}" type="TxLink">
            <a:rPr lang="en-US" sz="2200" b="1" i="0" u="none" strike="noStrike">
              <a:solidFill>
                <a:schemeClr val="bg1"/>
              </a:solidFill>
              <a:latin typeface="Calibri"/>
              <a:ea typeface="+mn-ea"/>
              <a:cs typeface="Calibri"/>
            </a:rPr>
            <a:pPr marL="0" marR="0" indent="0" algn="ctr" defTabSz="914400" eaLnBrk="1" fontAlgn="auto" latinLnBrk="0" hangingPunct="1">
              <a:lnSpc>
                <a:spcPct val="100000"/>
              </a:lnSpc>
              <a:spcBef>
                <a:spcPts val="0"/>
              </a:spcBef>
              <a:spcAft>
                <a:spcPts val="0"/>
              </a:spcAft>
              <a:buClrTx/>
              <a:buSzTx/>
              <a:buFontTx/>
              <a:buNone/>
              <a:tabLst/>
              <a:defRPr/>
            </a:pPr>
            <a:t>50</a:t>
          </a:fld>
          <a:endParaRPr lang="en-GB" sz="2200" b="1" i="0" u="none" strike="noStrike">
            <a:solidFill>
              <a:schemeClr val="bg1"/>
            </a:solidFill>
            <a:latin typeface="Calibri"/>
            <a:ea typeface="+mn-ea"/>
            <a:cs typeface="Calibri"/>
          </a:endParaRPr>
        </a:p>
      </xdr:txBody>
    </xdr:sp>
    <xdr:clientData/>
  </xdr:twoCellAnchor>
  <xdr:twoCellAnchor>
    <xdr:from>
      <xdr:col>10</xdr:col>
      <xdr:colOff>110287</xdr:colOff>
      <xdr:row>9</xdr:row>
      <xdr:rowOff>90972</xdr:rowOff>
    </xdr:from>
    <xdr:to>
      <xdr:col>15</xdr:col>
      <xdr:colOff>594140</xdr:colOff>
      <xdr:row>27</xdr:row>
      <xdr:rowOff>9102</xdr:rowOff>
    </xdr:to>
    <xdr:sp macro="" textlink="">
      <xdr:nvSpPr>
        <xdr:cNvPr id="29" name="Rounded Rectangle 28">
          <a:extLst>
            <a:ext uri="{FF2B5EF4-FFF2-40B4-BE49-F238E27FC236}">
              <a16:creationId xmlns:a16="http://schemas.microsoft.com/office/drawing/2014/main" id="{058E06F4-8698-A846-8D0B-63E6D5AD9FBA}"/>
            </a:ext>
          </a:extLst>
        </xdr:cNvPr>
        <xdr:cNvSpPr/>
      </xdr:nvSpPr>
      <xdr:spPr>
        <a:xfrm>
          <a:off x="8365287" y="1805472"/>
          <a:ext cx="4611353" cy="3347130"/>
        </a:xfrm>
        <a:prstGeom prst="roundRect">
          <a:avLst/>
        </a:prstGeom>
        <a:solidFill>
          <a:schemeClr val="accent1">
            <a:lumMod val="60000"/>
            <a:lumOff val="4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15</xdr:col>
      <xdr:colOff>745287</xdr:colOff>
      <xdr:row>9</xdr:row>
      <xdr:rowOff>116372</xdr:rowOff>
    </xdr:from>
    <xdr:to>
      <xdr:col>21</xdr:col>
      <xdr:colOff>403640</xdr:colOff>
      <xdr:row>27</xdr:row>
      <xdr:rowOff>34502</xdr:rowOff>
    </xdr:to>
    <xdr:sp macro="" textlink="">
      <xdr:nvSpPr>
        <xdr:cNvPr id="30" name="Rounded Rectangle 29">
          <a:extLst>
            <a:ext uri="{FF2B5EF4-FFF2-40B4-BE49-F238E27FC236}">
              <a16:creationId xmlns:a16="http://schemas.microsoft.com/office/drawing/2014/main" id="{BD52871F-7286-3940-BD95-0C79F810FB74}"/>
            </a:ext>
          </a:extLst>
        </xdr:cNvPr>
        <xdr:cNvSpPr/>
      </xdr:nvSpPr>
      <xdr:spPr>
        <a:xfrm>
          <a:off x="13127787" y="1830872"/>
          <a:ext cx="4611353" cy="3347130"/>
        </a:xfrm>
        <a:prstGeom prst="roundRect">
          <a:avLst/>
        </a:prstGeom>
        <a:solidFill>
          <a:schemeClr val="accent1">
            <a:lumMod val="60000"/>
            <a:lumOff val="4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4</xdr:col>
      <xdr:colOff>321736</xdr:colOff>
      <xdr:row>28</xdr:row>
      <xdr:rowOff>189366</xdr:rowOff>
    </xdr:from>
    <xdr:to>
      <xdr:col>9</xdr:col>
      <xdr:colOff>805589</xdr:colOff>
      <xdr:row>46</xdr:row>
      <xdr:rowOff>107496</xdr:rowOff>
    </xdr:to>
    <xdr:sp macro="" textlink="">
      <xdr:nvSpPr>
        <xdr:cNvPr id="31" name="Rounded Rectangle 30">
          <a:extLst>
            <a:ext uri="{FF2B5EF4-FFF2-40B4-BE49-F238E27FC236}">
              <a16:creationId xmlns:a16="http://schemas.microsoft.com/office/drawing/2014/main" id="{AB9303DB-7030-0C48-911D-BFB7BD0F4FF5}"/>
            </a:ext>
          </a:extLst>
        </xdr:cNvPr>
        <xdr:cNvSpPr/>
      </xdr:nvSpPr>
      <xdr:spPr>
        <a:xfrm>
          <a:off x="3650012" y="5502929"/>
          <a:ext cx="4644198" cy="3333992"/>
        </a:xfrm>
        <a:prstGeom prst="roundRect">
          <a:avLst/>
        </a:prstGeom>
        <a:solidFill>
          <a:schemeClr val="accent1">
            <a:lumMod val="60000"/>
            <a:lumOff val="4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10</xdr:col>
      <xdr:colOff>124885</xdr:colOff>
      <xdr:row>28</xdr:row>
      <xdr:rowOff>176666</xdr:rowOff>
    </xdr:from>
    <xdr:to>
      <xdr:col>15</xdr:col>
      <xdr:colOff>608738</xdr:colOff>
      <xdr:row>46</xdr:row>
      <xdr:rowOff>94796</xdr:rowOff>
    </xdr:to>
    <xdr:sp macro="" textlink="">
      <xdr:nvSpPr>
        <xdr:cNvPr id="32" name="Rounded Rectangle 31">
          <a:extLst>
            <a:ext uri="{FF2B5EF4-FFF2-40B4-BE49-F238E27FC236}">
              <a16:creationId xmlns:a16="http://schemas.microsoft.com/office/drawing/2014/main" id="{87C3DCE8-4141-C24C-8951-ADEDAD0DB37F}"/>
            </a:ext>
          </a:extLst>
        </xdr:cNvPr>
        <xdr:cNvSpPr/>
      </xdr:nvSpPr>
      <xdr:spPr>
        <a:xfrm>
          <a:off x="8445575" y="5490229"/>
          <a:ext cx="4644197" cy="3333992"/>
        </a:xfrm>
        <a:prstGeom prst="roundRect">
          <a:avLst/>
        </a:prstGeom>
        <a:solidFill>
          <a:schemeClr val="accent1">
            <a:lumMod val="60000"/>
            <a:lumOff val="4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xdr:from>
      <xdr:col>15</xdr:col>
      <xdr:colOff>747186</xdr:colOff>
      <xdr:row>29</xdr:row>
      <xdr:rowOff>12296</xdr:rowOff>
    </xdr:from>
    <xdr:to>
      <xdr:col>21</xdr:col>
      <xdr:colOff>405539</xdr:colOff>
      <xdr:row>46</xdr:row>
      <xdr:rowOff>120196</xdr:rowOff>
    </xdr:to>
    <xdr:sp macro="" textlink="">
      <xdr:nvSpPr>
        <xdr:cNvPr id="33" name="Rounded Rectangle 32">
          <a:extLst>
            <a:ext uri="{FF2B5EF4-FFF2-40B4-BE49-F238E27FC236}">
              <a16:creationId xmlns:a16="http://schemas.microsoft.com/office/drawing/2014/main" id="{0B9046FF-211A-6344-B399-50C2A7FE8FF9}"/>
            </a:ext>
          </a:extLst>
        </xdr:cNvPr>
        <xdr:cNvSpPr/>
      </xdr:nvSpPr>
      <xdr:spPr>
        <a:xfrm>
          <a:off x="13228220" y="5515629"/>
          <a:ext cx="4650767" cy="3333992"/>
        </a:xfrm>
        <a:prstGeom prst="roundRect">
          <a:avLst/>
        </a:prstGeom>
        <a:solidFill>
          <a:schemeClr val="accent1">
            <a:lumMod val="60000"/>
            <a:lumOff val="4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panose="020B0604020202020204" pitchFamily="34" charset="0"/>
            <a:cs typeface="Arial" panose="020B0604020202020204" pitchFamily="34" charset="0"/>
          </a:endParaRPr>
        </a:p>
      </xdr:txBody>
    </xdr:sp>
    <xdr:clientData/>
  </xdr:twoCellAnchor>
  <xdr:twoCellAnchor editAs="oneCell">
    <xdr:from>
      <xdr:col>2</xdr:col>
      <xdr:colOff>472236</xdr:colOff>
      <xdr:row>9</xdr:row>
      <xdr:rowOff>57158</xdr:rowOff>
    </xdr:from>
    <xdr:to>
      <xdr:col>4</xdr:col>
      <xdr:colOff>204641</xdr:colOff>
      <xdr:row>22</xdr:row>
      <xdr:rowOff>32283</xdr:rowOff>
    </xdr:to>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39B558FD-8B74-FF43-A710-57920688754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23236" y="1771658"/>
              <a:ext cx="1383405" cy="2451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472236</xdr:colOff>
      <xdr:row>20</xdr:row>
      <xdr:rowOff>88577</xdr:rowOff>
    </xdr:from>
    <xdr:to>
      <xdr:col>4</xdr:col>
      <xdr:colOff>204641</xdr:colOff>
      <xdr:row>29</xdr:row>
      <xdr:rowOff>47640</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D7F53AB2-7D98-8D49-98ED-E329E99DA7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23236" y="3898577"/>
              <a:ext cx="1383405" cy="16735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472236</xdr:colOff>
      <xdr:row>28</xdr:row>
      <xdr:rowOff>524</xdr:rowOff>
    </xdr:from>
    <xdr:to>
      <xdr:col>4</xdr:col>
      <xdr:colOff>204641</xdr:colOff>
      <xdr:row>36</xdr:row>
      <xdr:rowOff>150087</xdr:rowOff>
    </xdr:to>
    <mc:AlternateContent xmlns:mc="http://schemas.openxmlformats.org/markup-compatibility/2006" xmlns:a14="http://schemas.microsoft.com/office/drawing/2010/main">
      <mc:Choice Requires="a14">
        <xdr:graphicFrame macro="">
          <xdr:nvGraphicFramePr>
            <xdr:cNvPr id="36" name="Order Status">
              <a:extLst>
                <a:ext uri="{FF2B5EF4-FFF2-40B4-BE49-F238E27FC236}">
                  <a16:creationId xmlns:a16="http://schemas.microsoft.com/office/drawing/2014/main" id="{CD89BFA5-2289-D741-A8D1-8D7077118CBA}"/>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123236" y="5334524"/>
              <a:ext cx="1383405" cy="16735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472236</xdr:colOff>
      <xdr:row>35</xdr:row>
      <xdr:rowOff>102971</xdr:rowOff>
    </xdr:from>
    <xdr:to>
      <xdr:col>4</xdr:col>
      <xdr:colOff>204641</xdr:colOff>
      <xdr:row>44</xdr:row>
      <xdr:rowOff>62034</xdr:rowOff>
    </xdr:to>
    <mc:AlternateContent xmlns:mc="http://schemas.openxmlformats.org/markup-compatibility/2006" xmlns:a14="http://schemas.microsoft.com/office/drawing/2010/main">
      <mc:Choice Requires="a14">
        <xdr:graphicFrame macro="">
          <xdr:nvGraphicFramePr>
            <xdr:cNvPr id="37" name="Payment Mode">
              <a:extLst>
                <a:ext uri="{FF2B5EF4-FFF2-40B4-BE49-F238E27FC236}">
                  <a16:creationId xmlns:a16="http://schemas.microsoft.com/office/drawing/2014/main" id="{ABBD7831-42B1-1F41-8030-55813342563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123236" y="6770471"/>
              <a:ext cx="1383405" cy="16735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459538</xdr:colOff>
      <xdr:row>10</xdr:row>
      <xdr:rowOff>76650</xdr:rowOff>
    </xdr:from>
    <xdr:to>
      <xdr:col>9</xdr:col>
      <xdr:colOff>607990</xdr:colOff>
      <xdr:row>26</xdr:row>
      <xdr:rowOff>3875</xdr:rowOff>
    </xdr:to>
    <xdr:graphicFrame macro="">
      <xdr:nvGraphicFramePr>
        <xdr:cNvPr id="38" name="Chart 37">
          <a:extLst>
            <a:ext uri="{FF2B5EF4-FFF2-40B4-BE49-F238E27FC236}">
              <a16:creationId xmlns:a16="http://schemas.microsoft.com/office/drawing/2014/main" id="{3552C7DF-23B1-D74A-BB3F-CBE4176DC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264185</xdr:colOff>
      <xdr:row>10</xdr:row>
      <xdr:rowOff>75150</xdr:rowOff>
    </xdr:from>
    <xdr:to>
      <xdr:col>15</xdr:col>
      <xdr:colOff>416020</xdr:colOff>
      <xdr:row>26</xdr:row>
      <xdr:rowOff>6093</xdr:rowOff>
    </xdr:to>
    <xdr:graphicFrame macro="">
      <xdr:nvGraphicFramePr>
        <xdr:cNvPr id="39" name="Chart 38">
          <a:extLst>
            <a:ext uri="{FF2B5EF4-FFF2-40B4-BE49-F238E27FC236}">
              <a16:creationId xmlns:a16="http://schemas.microsoft.com/office/drawing/2014/main" id="{4877DDA1-6868-8641-BF16-6D047127D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72187</xdr:colOff>
      <xdr:row>10</xdr:row>
      <xdr:rowOff>75150</xdr:rowOff>
    </xdr:from>
    <xdr:to>
      <xdr:col>21</xdr:col>
      <xdr:colOff>224022</xdr:colOff>
      <xdr:row>26</xdr:row>
      <xdr:rowOff>6093</xdr:rowOff>
    </xdr:to>
    <xdr:graphicFrame macro="">
      <xdr:nvGraphicFramePr>
        <xdr:cNvPr id="40" name="Chart 39">
          <a:extLst>
            <a:ext uri="{FF2B5EF4-FFF2-40B4-BE49-F238E27FC236}">
              <a16:creationId xmlns:a16="http://schemas.microsoft.com/office/drawing/2014/main" id="{BEA30283-F974-1345-BFF1-7767B40F3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474136</xdr:colOff>
      <xdr:row>29</xdr:row>
      <xdr:rowOff>136206</xdr:rowOff>
    </xdr:from>
    <xdr:to>
      <xdr:col>9</xdr:col>
      <xdr:colOff>625971</xdr:colOff>
      <xdr:row>45</xdr:row>
      <xdr:rowOff>67879</xdr:rowOff>
    </xdr:to>
    <xdr:graphicFrame macro="">
      <xdr:nvGraphicFramePr>
        <xdr:cNvPr id="41" name="Chart 40">
          <a:extLst>
            <a:ext uri="{FF2B5EF4-FFF2-40B4-BE49-F238E27FC236}">
              <a16:creationId xmlns:a16="http://schemas.microsoft.com/office/drawing/2014/main" id="{F154928F-5B0C-DF4B-BACF-840DB9DFF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307866</xdr:colOff>
      <xdr:row>29</xdr:row>
      <xdr:rowOff>136206</xdr:rowOff>
    </xdr:from>
    <xdr:to>
      <xdr:col>15</xdr:col>
      <xdr:colOff>459701</xdr:colOff>
      <xdr:row>45</xdr:row>
      <xdr:rowOff>67879</xdr:rowOff>
    </xdr:to>
    <xdr:graphicFrame macro="">
      <xdr:nvGraphicFramePr>
        <xdr:cNvPr id="42" name="Chart 41">
          <a:extLst>
            <a:ext uri="{FF2B5EF4-FFF2-40B4-BE49-F238E27FC236}">
              <a16:creationId xmlns:a16="http://schemas.microsoft.com/office/drawing/2014/main" id="{388A2C72-30C4-234C-8B6E-1B81E671E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141596</xdr:colOff>
      <xdr:row>29</xdr:row>
      <xdr:rowOff>136206</xdr:rowOff>
    </xdr:from>
    <xdr:to>
      <xdr:col>21</xdr:col>
      <xdr:colOff>293431</xdr:colOff>
      <xdr:row>45</xdr:row>
      <xdr:rowOff>67879</xdr:rowOff>
    </xdr:to>
    <xdr:graphicFrame macro="">
      <xdr:nvGraphicFramePr>
        <xdr:cNvPr id="43" name="Chart 42">
          <a:extLst>
            <a:ext uri="{FF2B5EF4-FFF2-40B4-BE49-F238E27FC236}">
              <a16:creationId xmlns:a16="http://schemas.microsoft.com/office/drawing/2014/main" id="{30E39CF3-DA69-3144-AD90-31E40198E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393700</xdr:colOff>
      <xdr:row>4</xdr:row>
      <xdr:rowOff>76200</xdr:rowOff>
    </xdr:from>
    <xdr:to>
      <xdr:col>20</xdr:col>
      <xdr:colOff>685800</xdr:colOff>
      <xdr:row>8</xdr:row>
      <xdr:rowOff>140828</xdr:rowOff>
    </xdr:to>
    <xdr:sp macro="" textlink="">
      <xdr:nvSpPr>
        <xdr:cNvPr id="44" name="Rounded Rectangle 43">
          <a:extLst>
            <a:ext uri="{FF2B5EF4-FFF2-40B4-BE49-F238E27FC236}">
              <a16:creationId xmlns:a16="http://schemas.microsoft.com/office/drawing/2014/main" id="{C99D3A86-5DE1-93AC-869E-61FF095577AF}"/>
            </a:ext>
          </a:extLst>
        </xdr:cNvPr>
        <xdr:cNvSpPr/>
      </xdr:nvSpPr>
      <xdr:spPr>
        <a:xfrm>
          <a:off x="3695700" y="838200"/>
          <a:ext cx="13500100" cy="826628"/>
        </a:xfrm>
        <a:prstGeom prst="roundRect">
          <a:avLst/>
        </a:prstGeom>
        <a:solidFill>
          <a:schemeClr val="accent5"/>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a:t>E-commerce DashBoard</a:t>
          </a:r>
        </a:p>
      </xdr:txBody>
    </xdr:sp>
    <xdr:clientData/>
  </xdr:twoCellAnchor>
  <xdr:twoCellAnchor>
    <xdr:from>
      <xdr:col>9</xdr:col>
      <xdr:colOff>101600</xdr:colOff>
      <xdr:row>0</xdr:row>
      <xdr:rowOff>38101</xdr:rowOff>
    </xdr:from>
    <xdr:to>
      <xdr:col>16</xdr:col>
      <xdr:colOff>139700</xdr:colOff>
      <xdr:row>2</xdr:row>
      <xdr:rowOff>185603</xdr:rowOff>
    </xdr:to>
    <xdr:sp macro="" textlink="">
      <xdr:nvSpPr>
        <xdr:cNvPr id="46" name="TextBox 45">
          <a:extLst>
            <a:ext uri="{FF2B5EF4-FFF2-40B4-BE49-F238E27FC236}">
              <a16:creationId xmlns:a16="http://schemas.microsoft.com/office/drawing/2014/main" id="{81795E57-E3D2-B611-C609-5354C229DC7A}"/>
            </a:ext>
          </a:extLst>
        </xdr:cNvPr>
        <xdr:cNvSpPr txBox="1"/>
      </xdr:nvSpPr>
      <xdr:spPr>
        <a:xfrm>
          <a:off x="7531100" y="38101"/>
          <a:ext cx="5816600" cy="528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300">
              <a:solidFill>
                <a:schemeClr val="bg1"/>
              </a:solidFill>
              <a:latin typeface="Arial" panose="020B0604020202020204" pitchFamily="34" charset="0"/>
              <a:cs typeface="Arial" panose="020B0604020202020204" pitchFamily="34" charset="0"/>
            </a:rPr>
            <a:t>FY - 2024 Sales Data Analysis</a:t>
          </a:r>
        </a:p>
      </xdr:txBody>
    </xdr:sp>
    <xdr:clientData/>
  </xdr:twoCellAnchor>
  <xdr:twoCellAnchor>
    <xdr:from>
      <xdr:col>4</xdr:col>
      <xdr:colOff>492805</xdr:colOff>
      <xdr:row>5</xdr:row>
      <xdr:rowOff>26110</xdr:rowOff>
    </xdr:from>
    <xdr:to>
      <xdr:col>7</xdr:col>
      <xdr:colOff>203200</xdr:colOff>
      <xdr:row>8</xdr:row>
      <xdr:rowOff>38100</xdr:rowOff>
    </xdr:to>
    <xdr:sp macro="" textlink="">
      <xdr:nvSpPr>
        <xdr:cNvPr id="3" name="TextBox 2">
          <a:extLst>
            <a:ext uri="{FF2B5EF4-FFF2-40B4-BE49-F238E27FC236}">
              <a16:creationId xmlns:a16="http://schemas.microsoft.com/office/drawing/2014/main" id="{D7AD7BF1-FBFE-E64F-A074-55F08E61A72E}"/>
            </a:ext>
          </a:extLst>
        </xdr:cNvPr>
        <xdr:cNvSpPr txBox="1"/>
      </xdr:nvSpPr>
      <xdr:spPr>
        <a:xfrm>
          <a:off x="3794805" y="978610"/>
          <a:ext cx="2186895" cy="583490"/>
        </a:xfrm>
        <a:prstGeom prst="round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GB" sz="1600" b="1">
              <a:solidFill>
                <a:schemeClr val="tx1"/>
              </a:solidFill>
              <a:latin typeface="Arial" panose="020B0604020202020204" pitchFamily="34" charset="0"/>
              <a:cs typeface="Arial" panose="020B0604020202020204" pitchFamily="34" charset="0"/>
            </a:rPr>
            <a:t>City:</a:t>
          </a:r>
        </a:p>
      </xdr:txBody>
    </xdr:sp>
    <xdr:clientData/>
  </xdr:twoCellAnchor>
  <xdr:twoCellAnchor>
    <xdr:from>
      <xdr:col>5</xdr:col>
      <xdr:colOff>224595</xdr:colOff>
      <xdr:row>5</xdr:row>
      <xdr:rowOff>133805</xdr:rowOff>
    </xdr:from>
    <xdr:to>
      <xdr:col>7</xdr:col>
      <xdr:colOff>139700</xdr:colOff>
      <xdr:row>7</xdr:row>
      <xdr:rowOff>120905</xdr:rowOff>
    </xdr:to>
    <xdr:sp macro="" textlink="'KPIs Card'!C13:C19">
      <xdr:nvSpPr>
        <xdr:cNvPr id="2" name="TextBox 1">
          <a:extLst>
            <a:ext uri="{FF2B5EF4-FFF2-40B4-BE49-F238E27FC236}">
              <a16:creationId xmlns:a16="http://schemas.microsoft.com/office/drawing/2014/main" id="{D1AFF88F-B131-BC40-9F19-E86927CE2F37}"/>
            </a:ext>
          </a:extLst>
        </xdr:cNvPr>
        <xdr:cNvSpPr txBox="1"/>
      </xdr:nvSpPr>
      <xdr:spPr>
        <a:xfrm>
          <a:off x="4352095" y="1086305"/>
          <a:ext cx="1566105" cy="368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F894F9-D8CD-4045-9CAB-A75E5BCDF81F}" type="TxLink">
            <a:rPr lang="en-US" sz="2200" b="1" i="0" u="none" strike="noStrike">
              <a:solidFill>
                <a:schemeClr val="accent5">
                  <a:lumMod val="75000"/>
                </a:schemeClr>
              </a:solidFill>
              <a:latin typeface="Calibri"/>
              <a:ea typeface="+mn-ea"/>
              <a:cs typeface="Calibri"/>
            </a:rPr>
            <a:pPr marL="0" indent="0" algn="l"/>
            <a:t>Bangalore</a:t>
          </a:fld>
          <a:endParaRPr lang="en-GB" sz="2200" b="1" i="0" u="none" strike="noStrike">
            <a:solidFill>
              <a:schemeClr val="accent5">
                <a:lumMod val="75000"/>
              </a:schemeClr>
            </a:solidFill>
            <a:latin typeface="Calibri"/>
            <a:ea typeface="+mn-ea"/>
            <a:cs typeface="Calibri"/>
          </a:endParaRPr>
        </a:p>
      </xdr:txBody>
    </xdr:sp>
    <xdr:clientData/>
  </xdr:twoCellAnchor>
  <xdr:twoCellAnchor editAs="oneCell">
    <xdr:from>
      <xdr:col>2</xdr:col>
      <xdr:colOff>436323</xdr:colOff>
      <xdr:row>3</xdr:row>
      <xdr:rowOff>83220</xdr:rowOff>
    </xdr:from>
    <xdr:to>
      <xdr:col>4</xdr:col>
      <xdr:colOff>342692</xdr:colOff>
      <xdr:row>8</xdr:row>
      <xdr:rowOff>193039</xdr:rowOff>
    </xdr:to>
    <xdr:pic>
      <xdr:nvPicPr>
        <xdr:cNvPr id="7" name="Graphic 6" descr="SVG &gt; bar monitoring line info - Free SVG Image &amp; Icon. | SVG Silh">
          <a:extLst>
            <a:ext uri="{FF2B5EF4-FFF2-40B4-BE49-F238E27FC236}">
              <a16:creationId xmlns:a16="http://schemas.microsoft.com/office/drawing/2014/main" id="{792A5C9E-8F31-F492-D075-1EBF282911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 uri="{837473B0-CC2E-450A-ABE3-18F120FF3D39}">
              <a1611:picAttrSrcUrl xmlns:a1611="http://schemas.microsoft.com/office/drawing/2016/11/main" r:id="rId9"/>
            </a:ext>
          </a:extLst>
        </a:blip>
        <a:stretch>
          <a:fillRect/>
        </a:stretch>
      </xdr:blipFill>
      <xdr:spPr>
        <a:xfrm>
          <a:off x="2082243" y="662340"/>
          <a:ext cx="1552289" cy="1075019"/>
        </a:xfrm>
        <a:prstGeom prst="rect">
          <a:avLst/>
        </a:prstGeom>
      </xdr:spPr>
    </xdr:pic>
    <xdr:clientData/>
  </xdr:twoCellAnchor>
  <xdr:twoCellAnchor>
    <xdr:from>
      <xdr:col>1</xdr:col>
      <xdr:colOff>650240</xdr:colOff>
      <xdr:row>20</xdr:row>
      <xdr:rowOff>132080</xdr:rowOff>
    </xdr:from>
    <xdr:to>
      <xdr:col>2</xdr:col>
      <xdr:colOff>152400</xdr:colOff>
      <xdr:row>22</xdr:row>
      <xdr:rowOff>101600</xdr:rowOff>
    </xdr:to>
    <xdr:sp macro="" textlink="">
      <xdr:nvSpPr>
        <xdr:cNvPr id="23" name="TextBox 22">
          <a:extLst>
            <a:ext uri="{FF2B5EF4-FFF2-40B4-BE49-F238E27FC236}">
              <a16:creationId xmlns:a16="http://schemas.microsoft.com/office/drawing/2014/main" id="{63C0FE46-6C2D-7A62-026D-0655DAB10C88}"/>
            </a:ext>
          </a:extLst>
        </xdr:cNvPr>
        <xdr:cNvSpPr txBox="1"/>
      </xdr:nvSpPr>
      <xdr:spPr>
        <a:xfrm>
          <a:off x="1473200" y="3992880"/>
          <a:ext cx="32512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2200" b="1" i="0" u="none" strike="noStrike">
              <a:solidFill>
                <a:schemeClr val="bg1"/>
              </a:solidFill>
              <a:latin typeface="Calibri"/>
              <a:ea typeface="+mn-ea"/>
              <a:cs typeface="Calibri"/>
            </a:rPr>
            <a:t>$</a:t>
          </a:r>
        </a:p>
      </xdr:txBody>
    </xdr:sp>
    <xdr:clientData/>
  </xdr:twoCellAnchor>
  <xdr:twoCellAnchor editAs="oneCell">
    <xdr:from>
      <xdr:col>1</xdr:col>
      <xdr:colOff>609788</xdr:colOff>
      <xdr:row>26</xdr:row>
      <xdr:rowOff>101318</xdr:rowOff>
    </xdr:from>
    <xdr:to>
      <xdr:col>2</xdr:col>
      <xdr:colOff>300571</xdr:colOff>
      <xdr:row>29</xdr:row>
      <xdr:rowOff>29399</xdr:rowOff>
    </xdr:to>
    <xdr:pic>
      <xdr:nvPicPr>
        <xdr:cNvPr id="49" name="Graphic 48" descr="SVG &gt; retail symbol logo grocery - Free SVG Image &amp; Icon. | SVG Silh">
          <a:extLst>
            <a:ext uri="{FF2B5EF4-FFF2-40B4-BE49-F238E27FC236}">
              <a16:creationId xmlns:a16="http://schemas.microsoft.com/office/drawing/2014/main" id="{A6DA8F84-BBE8-74A3-A46D-60AE571569F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 uri="{837473B0-CC2E-450A-ABE3-18F120FF3D39}">
              <a1611:picAttrSrcUrl xmlns:a1611="http://schemas.microsoft.com/office/drawing/2016/11/main" r:id="rId12"/>
            </a:ext>
          </a:extLst>
        </a:blip>
        <a:stretch>
          <a:fillRect/>
        </a:stretch>
      </xdr:blipFill>
      <xdr:spPr>
        <a:xfrm>
          <a:off x="1432936" y="4993170"/>
          <a:ext cx="513931" cy="492525"/>
        </a:xfrm>
        <a:prstGeom prst="rect">
          <a:avLst/>
        </a:prstGeom>
      </xdr:spPr>
    </xdr:pic>
    <xdr:clientData/>
  </xdr:twoCellAnchor>
  <xdr:twoCellAnchor editAs="oneCell">
    <xdr:from>
      <xdr:col>1</xdr:col>
      <xdr:colOff>639135</xdr:colOff>
      <xdr:row>33</xdr:row>
      <xdr:rowOff>18016</xdr:rowOff>
    </xdr:from>
    <xdr:to>
      <xdr:col>2</xdr:col>
      <xdr:colOff>317501</xdr:colOff>
      <xdr:row>35</xdr:row>
      <xdr:rowOff>129048</xdr:rowOff>
    </xdr:to>
    <xdr:pic>
      <xdr:nvPicPr>
        <xdr:cNvPr id="63" name="Picture 62" descr="Consumer Icon White">
          <a:extLst>
            <a:ext uri="{FF2B5EF4-FFF2-40B4-BE49-F238E27FC236}">
              <a16:creationId xmlns:a16="http://schemas.microsoft.com/office/drawing/2014/main" id="{59DFE403-941F-654B-86AA-410D7E0EB402}"/>
            </a:ext>
          </a:extLst>
        </xdr:cNvPr>
        <xdr:cNvPicPr>
          <a:picLocks noChangeAspect="1"/>
        </xdr:cNvPicPr>
      </xdr:nvPicPr>
      <xdr:blipFill>
        <a:blip xmlns:r="http://schemas.openxmlformats.org/officeDocument/2006/relationships" r:embed="rId13" cstate="print">
          <a:lum bright="70000" contrast="-70000"/>
          <a:extLst>
            <a:ext uri="{BEBA8EAE-BF5A-486C-A8C5-ECC9F3942E4B}">
              <a14:imgProps xmlns:a14="http://schemas.microsoft.com/office/drawing/2010/main">
                <a14:imgLayer r:embed="rId14">
                  <a14:imgEffect>
                    <a14:artisticPaintStrokes/>
                  </a14:imgEffect>
                  <a14:imgEffect>
                    <a14:colorTemperature colorTemp="4700"/>
                  </a14:imgEffect>
                  <a14:imgEffect>
                    <a14:saturation sat="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a:off x="1466112" y="6353249"/>
          <a:ext cx="505342" cy="494985"/>
        </a:xfrm>
        <a:prstGeom prst="rect">
          <a:avLst/>
        </a:prstGeom>
      </xdr:spPr>
    </xdr:pic>
    <xdr:clientData/>
  </xdr:twoCellAnchor>
  <xdr:twoCellAnchor editAs="oneCell">
    <xdr:from>
      <xdr:col>1</xdr:col>
      <xdr:colOff>599841</xdr:colOff>
      <xdr:row>39</xdr:row>
      <xdr:rowOff>164666</xdr:rowOff>
    </xdr:from>
    <xdr:to>
      <xdr:col>2</xdr:col>
      <xdr:colOff>257130</xdr:colOff>
      <xdr:row>42</xdr:row>
      <xdr:rowOff>54625</xdr:rowOff>
    </xdr:to>
    <xdr:pic>
      <xdr:nvPicPr>
        <xdr:cNvPr id="65" name="Graphic 64" descr="SVG &gt; étudiant Président avatar employé - Image et icône SVG gratuite ...">
          <a:extLst>
            <a:ext uri="{FF2B5EF4-FFF2-40B4-BE49-F238E27FC236}">
              <a16:creationId xmlns:a16="http://schemas.microsoft.com/office/drawing/2014/main" id="{6EF9B4DA-9556-D22B-98FD-171040ECED9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 uri="{837473B0-CC2E-450A-ABE3-18F120FF3D39}">
              <a1611:picAttrSrcUrl xmlns:a1611="http://schemas.microsoft.com/office/drawing/2016/11/main" r:id="rId18"/>
            </a:ext>
          </a:extLst>
        </a:blip>
        <a:stretch>
          <a:fillRect/>
        </a:stretch>
      </xdr:blipFill>
      <xdr:spPr>
        <a:xfrm flipH="1">
          <a:off x="1419196" y="7620795"/>
          <a:ext cx="476644" cy="4635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505661</xdr:colOff>
      <xdr:row>23</xdr:row>
      <xdr:rowOff>152400</xdr:rowOff>
    </xdr:to>
    <xdr:graphicFrame macro="">
      <xdr:nvGraphicFramePr>
        <xdr:cNvPr id="14" name="Chart 13">
          <a:extLst>
            <a:ext uri="{FF2B5EF4-FFF2-40B4-BE49-F238E27FC236}">
              <a16:creationId xmlns:a16="http://schemas.microsoft.com/office/drawing/2014/main" id="{297D2F8C-D962-554F-96D2-2F777E1D5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673100</xdr:colOff>
      <xdr:row>14</xdr:row>
      <xdr:rowOff>31750</xdr:rowOff>
    </xdr:from>
    <xdr:to>
      <xdr:col>11</xdr:col>
      <xdr:colOff>292100</xdr:colOff>
      <xdr:row>28</xdr:row>
      <xdr:rowOff>107950</xdr:rowOff>
    </xdr:to>
    <xdr:graphicFrame macro="">
      <xdr:nvGraphicFramePr>
        <xdr:cNvPr id="2" name="Chart 1">
          <a:extLst>
            <a:ext uri="{FF2B5EF4-FFF2-40B4-BE49-F238E27FC236}">
              <a16:creationId xmlns:a16="http://schemas.microsoft.com/office/drawing/2014/main" id="{2C465EBD-6ACF-1B4E-D9B0-513D8AAC1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673100</xdr:colOff>
      <xdr:row>14</xdr:row>
      <xdr:rowOff>31750</xdr:rowOff>
    </xdr:from>
    <xdr:to>
      <xdr:col>11</xdr:col>
      <xdr:colOff>292100</xdr:colOff>
      <xdr:row>28</xdr:row>
      <xdr:rowOff>107950</xdr:rowOff>
    </xdr:to>
    <xdr:graphicFrame macro="">
      <xdr:nvGraphicFramePr>
        <xdr:cNvPr id="3" name="Chart 2">
          <a:extLst>
            <a:ext uri="{FF2B5EF4-FFF2-40B4-BE49-F238E27FC236}">
              <a16:creationId xmlns:a16="http://schemas.microsoft.com/office/drawing/2014/main" id="{2CFCBD59-508C-E7D0-C00C-6252FC624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457200</xdr:colOff>
      <xdr:row>14</xdr:row>
      <xdr:rowOff>31750</xdr:rowOff>
    </xdr:from>
    <xdr:to>
      <xdr:col>11</xdr:col>
      <xdr:colOff>76200</xdr:colOff>
      <xdr:row>28</xdr:row>
      <xdr:rowOff>107950</xdr:rowOff>
    </xdr:to>
    <xdr:graphicFrame macro="">
      <xdr:nvGraphicFramePr>
        <xdr:cNvPr id="2" name="Chart 1">
          <a:extLst>
            <a:ext uri="{FF2B5EF4-FFF2-40B4-BE49-F238E27FC236}">
              <a16:creationId xmlns:a16="http://schemas.microsoft.com/office/drawing/2014/main" id="{847E5045-F904-2414-BE6C-1099EA2F9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234950</xdr:colOff>
      <xdr:row>14</xdr:row>
      <xdr:rowOff>31750</xdr:rowOff>
    </xdr:from>
    <xdr:to>
      <xdr:col>15</xdr:col>
      <xdr:colOff>107950</xdr:colOff>
      <xdr:row>28</xdr:row>
      <xdr:rowOff>107950</xdr:rowOff>
    </xdr:to>
    <xdr:graphicFrame macro="">
      <xdr:nvGraphicFramePr>
        <xdr:cNvPr id="5" name="Chart 4">
          <a:extLst>
            <a:ext uri="{FF2B5EF4-FFF2-40B4-BE49-F238E27FC236}">
              <a16:creationId xmlns:a16="http://schemas.microsoft.com/office/drawing/2014/main" id="{5777D62C-848A-3E58-9013-3700A376F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11</xdr:row>
      <xdr:rowOff>0</xdr:rowOff>
    </xdr:from>
    <xdr:to>
      <xdr:col>9</xdr:col>
      <xdr:colOff>749300</xdr:colOff>
      <xdr:row>22</xdr:row>
      <xdr:rowOff>139700</xdr:rowOff>
    </xdr:to>
    <xdr:graphicFrame macro="">
      <xdr:nvGraphicFramePr>
        <xdr:cNvPr id="3" name="Chart 2">
          <a:extLst>
            <a:ext uri="{FF2B5EF4-FFF2-40B4-BE49-F238E27FC236}">
              <a16:creationId xmlns:a16="http://schemas.microsoft.com/office/drawing/2014/main" id="{8B5F44BF-0648-6940-BEC5-6D4C9325B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133350</xdr:colOff>
      <xdr:row>14</xdr:row>
      <xdr:rowOff>31750</xdr:rowOff>
    </xdr:from>
    <xdr:to>
      <xdr:col>12</xdr:col>
      <xdr:colOff>558800</xdr:colOff>
      <xdr:row>28</xdr:row>
      <xdr:rowOff>107950</xdr:rowOff>
    </xdr:to>
    <xdr:graphicFrame macro="">
      <xdr:nvGraphicFramePr>
        <xdr:cNvPr id="2" name="Chart 1">
          <a:extLst>
            <a:ext uri="{FF2B5EF4-FFF2-40B4-BE49-F238E27FC236}">
              <a16:creationId xmlns:a16="http://schemas.microsoft.com/office/drawing/2014/main" id="{7BB1A5B9-677F-4AC0-0885-61193F2B8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i chary chityala" refreshedDate="45988.455488078704" createdVersion="8" refreshedVersion="8" minRefreshableVersion="3" recordCount="50" xr:uid="{4035EC9A-BDB7-644D-AC3A-A552D2320DA7}">
  <cacheSource type="worksheet">
    <worksheetSource ref="A1:M51" sheet="Sales_Data"/>
  </cacheSource>
  <cacheFields count="13">
    <cacheField name="Order ID" numFmtId="0">
      <sharedItems containsSemiMixedTypes="0" containsString="0" containsNumber="1" containsInteger="1" minValue="1001" maxValue="1050"/>
    </cacheField>
    <cacheField name="Order Date" numFmtId="14">
      <sharedItems containsSemiMixedTypes="0" containsNonDate="0" containsDate="1" containsString="0" minDate="2024-01-03T00:00:00" maxDate="2024-02-18T00:00:00" count="45">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sharedItems>
    </cacheField>
    <cacheField name="Customer Name" numFmtId="0">
      <sharedItems count="50">
        <s v="Rahul Sharma"/>
        <s v="Pooja Verma"/>
        <s v="Amit Singh"/>
        <s v="Komal Jain"/>
        <s v="Suresh Rao"/>
        <s v="Riya Gupta"/>
        <s v="Karan Mehta"/>
        <s v="Deepak Kumar"/>
        <s v="Nikita Sharma"/>
        <s v="Vishal Singh"/>
        <s v="Harsh Patel"/>
        <s v="Aisha Khan"/>
        <s v="Anjali Rao"/>
        <s v="Parth Shah"/>
        <s v="Mohit Jain"/>
        <s v="Kritika Sen"/>
        <s v="Sumit Roy"/>
        <s v="Priya Mehta"/>
        <s v="Rohit Sharma"/>
        <s v="Nisha Agarwal"/>
        <s v="Arjun Gupta"/>
        <s v="Mansi Shah"/>
        <s v="Kunal Verma"/>
        <s v="Ankit Patel"/>
        <s v="Sweta Singh"/>
        <s v="Vikas Rao"/>
        <s v="Divya Nair"/>
        <s v="Akash Jain"/>
        <s v="Megha Sharma"/>
        <s v="Rajeev Kumar"/>
        <s v="Shruti Singh"/>
        <s v="Harish Kumar"/>
        <s v="Roshni Patel"/>
        <s v="Ananya Mehra"/>
        <s v="Samir Gupta"/>
        <s v="Kavya Sharma"/>
        <s v="Nitin Rao"/>
        <s v="Muskan Jain"/>
        <s v="Shivam Singh"/>
        <s v="Aryan Patel"/>
        <s v="Reema Gupta"/>
        <s v="Sachin Verma"/>
        <s v="Naina Shah"/>
        <s v="Manish Kumar"/>
        <s v="Neha Singh"/>
        <s v="Aayush Jain"/>
        <s v="Ritika Roy"/>
        <s v="Jay Shah"/>
        <s v="Mona Rao"/>
        <s v="Sunny Kumar"/>
      </sharedItems>
    </cacheField>
    <cacheField name="City" numFmtId="0">
      <sharedItems count="7">
        <s v="Hyderabad"/>
        <s v="Bangalore"/>
        <s v="Delhi"/>
        <s v="Mumbai"/>
        <s v="Pune"/>
        <s v="Kolkata"/>
        <s v="Chennai"/>
      </sharedItems>
    </cacheField>
    <cacheField name="Category" numFmtId="0">
      <sharedItems count="3">
        <s v="Electronics"/>
        <s v="Fashion"/>
        <s v="Home Decor"/>
      </sharedItems>
    </cacheField>
    <cacheField name="Product Name" numFmtId="0">
      <sharedItems count="50">
        <s v="Wireless Mouse"/>
        <s v="Keyboard"/>
        <s v="Sports Shoes"/>
        <s v="Table Lamp"/>
        <s v="Earbuds"/>
        <s v="Power Bank"/>
        <s v="Men T-Shirt"/>
        <s v="Wall Clock"/>
        <s v="Handbag"/>
        <s v="Smartwatch"/>
        <s v="Bedside Lamp"/>
        <s v="USB Cable"/>
        <s v="Kurti"/>
        <s v="Bluetooth Speaker"/>
        <s v="Flower Vase"/>
        <s v="Saree"/>
        <s v="Phone Cover"/>
        <s v="Webcam"/>
        <s v="Jeans"/>
        <s v="Candle Set"/>
        <s v="Earphones"/>
        <s v="Top"/>
        <s v="Curtains"/>
        <s v="Jacket"/>
        <s v="Trimmer"/>
        <s v="Charger"/>
        <s v="Earrings"/>
        <s v="Cushion Cover"/>
        <s v="Monitor"/>
        <s v="Router"/>
        <s v="Sandals"/>
        <s v="Doormat"/>
        <s v="LED Bulb"/>
        <s v="Shirt"/>
        <s v="Showpiece"/>
        <s v="Printer"/>
        <s v="Shorts"/>
        <s v="Table Mat"/>
        <s v="Tablet"/>
        <s v="Watch"/>
        <s v="Plant Pot"/>
        <s v="Headphones"/>
        <s v="Scarf"/>
        <s v="Photo Frame"/>
        <s v="Laptop Stand"/>
        <s v="Formal Shoes"/>
        <s v="LED Strip"/>
        <s v="Camera"/>
        <s v="Leggings"/>
        <s v="Mirror"/>
      </sharedItems>
    </cacheField>
    <cacheField name="Order Status" numFmtId="0">
      <sharedItems count="3">
        <s v="Delivered"/>
        <s v="Returned"/>
        <s v="Cancelled"/>
      </sharedItems>
    </cacheField>
    <cacheField name="Unit Price" numFmtId="0">
      <sharedItems containsSemiMixedTypes="0" containsString="0" containsNumber="1" containsInteger="1" minValue="149" maxValue="24999"/>
    </cacheField>
    <cacheField name="Quantity" numFmtId="0">
      <sharedItems containsSemiMixedTypes="0" containsString="0" containsNumber="1" containsInteger="1" minValue="1" maxValue="6" count="6">
        <n v="2"/>
        <n v="1"/>
        <n v="3"/>
        <n v="4"/>
        <n v="6"/>
        <n v="5"/>
      </sharedItems>
    </cacheField>
    <cacheField name="Payment Mode" numFmtId="0">
      <sharedItems count="3">
        <s v="UPI"/>
        <s v="COD"/>
        <s v="Card"/>
      </sharedItems>
    </cacheField>
    <cacheField name="Discount %" numFmtId="0">
      <sharedItems containsSemiMixedTypes="0" containsString="0" containsNumber="1" containsInteger="1" minValue="0" maxValue="10" count="4">
        <n v="5"/>
        <n v="0"/>
        <n v="10"/>
        <n v="8"/>
      </sharedItems>
    </cacheField>
    <cacheField name="Profit" numFmtId="0">
      <sharedItems containsSemiMixedTypes="0" containsString="0" containsNumber="1" containsInteger="1" minValue="-149" maxValue="5000" count="30">
        <n v="350"/>
        <n v="280"/>
        <n v="600"/>
        <n v="720"/>
        <n v="-149"/>
        <n v="460"/>
        <n v="300"/>
        <n v="250"/>
        <n v="450"/>
        <n v="0"/>
        <n v="380"/>
        <n v="200"/>
        <n v="150"/>
        <n v="550"/>
        <n v="240"/>
        <n v="140"/>
        <n v="400"/>
        <n v="260"/>
        <n v="210"/>
        <n v="100"/>
        <n v="1500"/>
        <n v="180"/>
        <n v="120"/>
        <n v="160"/>
        <n v="1200"/>
        <n v="220"/>
        <n v="110"/>
        <n v="2800"/>
        <n v="90"/>
        <n v="5000"/>
      </sharedItems>
    </cacheField>
    <cacheField name="Total Sales" numFmtId="0">
      <sharedItems containsSemiMixedTypes="0" containsString="0" containsNumber="1" containsInteger="1" minValue="598" maxValue="24999" count="33">
        <n v="1598"/>
        <n v="1299"/>
        <n v="2499"/>
        <n v="2997"/>
        <n v="1499"/>
        <n v="2198"/>
        <n v="1797"/>
        <n v="1999"/>
        <n v="2999"/>
        <n v="1798"/>
        <n v="1196"/>
        <n v="799"/>
        <n v="1198"/>
        <n v="897"/>
        <n v="1899"/>
        <n v="1996"/>
        <n v="1398"/>
        <n v="1497"/>
        <n v="1998"/>
        <n v="2899"/>
        <n v="1599"/>
        <n v="598"/>
        <n v="1596"/>
        <n v="7999"/>
        <n v="999"/>
        <n v="894"/>
        <n v="899"/>
        <n v="5999"/>
        <n v="747"/>
        <n v="14999"/>
        <n v="1995"/>
        <n v="24999"/>
        <n v="998"/>
      </sharedItems>
    </cacheField>
  </cacheFields>
  <extLst>
    <ext xmlns:x14="http://schemas.microsoft.com/office/spreadsheetml/2009/9/main" uri="{725AE2AE-9491-48be-B2B4-4EB974FC3084}">
      <x14:pivotCacheDefinition pivotCacheId="1326368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x v="0"/>
    <x v="0"/>
    <x v="0"/>
    <n v="799"/>
    <x v="0"/>
    <x v="0"/>
    <x v="0"/>
    <x v="0"/>
    <x v="0"/>
  </r>
  <r>
    <n v="1002"/>
    <x v="1"/>
    <x v="1"/>
    <x v="1"/>
    <x v="0"/>
    <x v="1"/>
    <x v="0"/>
    <n v="1299"/>
    <x v="1"/>
    <x v="1"/>
    <x v="1"/>
    <x v="1"/>
    <x v="1"/>
  </r>
  <r>
    <n v="1003"/>
    <x v="2"/>
    <x v="2"/>
    <x v="2"/>
    <x v="1"/>
    <x v="2"/>
    <x v="0"/>
    <n v="2499"/>
    <x v="1"/>
    <x v="2"/>
    <x v="2"/>
    <x v="2"/>
    <x v="2"/>
  </r>
  <r>
    <n v="1004"/>
    <x v="3"/>
    <x v="3"/>
    <x v="3"/>
    <x v="2"/>
    <x v="3"/>
    <x v="0"/>
    <n v="999"/>
    <x v="2"/>
    <x v="0"/>
    <x v="1"/>
    <x v="3"/>
    <x v="3"/>
  </r>
  <r>
    <n v="1005"/>
    <x v="4"/>
    <x v="4"/>
    <x v="4"/>
    <x v="0"/>
    <x v="4"/>
    <x v="1"/>
    <n v="1499"/>
    <x v="1"/>
    <x v="0"/>
    <x v="1"/>
    <x v="4"/>
    <x v="4"/>
  </r>
  <r>
    <n v="1006"/>
    <x v="5"/>
    <x v="5"/>
    <x v="5"/>
    <x v="0"/>
    <x v="5"/>
    <x v="0"/>
    <n v="1099"/>
    <x v="0"/>
    <x v="2"/>
    <x v="0"/>
    <x v="5"/>
    <x v="5"/>
  </r>
  <r>
    <n v="1007"/>
    <x v="5"/>
    <x v="6"/>
    <x v="6"/>
    <x v="1"/>
    <x v="6"/>
    <x v="0"/>
    <n v="599"/>
    <x v="2"/>
    <x v="1"/>
    <x v="1"/>
    <x v="6"/>
    <x v="6"/>
  </r>
  <r>
    <n v="1008"/>
    <x v="6"/>
    <x v="7"/>
    <x v="0"/>
    <x v="2"/>
    <x v="7"/>
    <x v="0"/>
    <n v="1299"/>
    <x v="1"/>
    <x v="0"/>
    <x v="0"/>
    <x v="7"/>
    <x v="1"/>
  </r>
  <r>
    <n v="1009"/>
    <x v="7"/>
    <x v="8"/>
    <x v="1"/>
    <x v="1"/>
    <x v="8"/>
    <x v="0"/>
    <n v="1999"/>
    <x v="1"/>
    <x v="2"/>
    <x v="3"/>
    <x v="8"/>
    <x v="7"/>
  </r>
  <r>
    <n v="1010"/>
    <x v="8"/>
    <x v="9"/>
    <x v="3"/>
    <x v="0"/>
    <x v="9"/>
    <x v="2"/>
    <n v="2999"/>
    <x v="1"/>
    <x v="0"/>
    <x v="1"/>
    <x v="9"/>
    <x v="8"/>
  </r>
  <r>
    <n v="1011"/>
    <x v="9"/>
    <x v="10"/>
    <x v="4"/>
    <x v="2"/>
    <x v="10"/>
    <x v="0"/>
    <n v="899"/>
    <x v="0"/>
    <x v="1"/>
    <x v="1"/>
    <x v="10"/>
    <x v="9"/>
  </r>
  <r>
    <n v="1012"/>
    <x v="10"/>
    <x v="11"/>
    <x v="2"/>
    <x v="0"/>
    <x v="11"/>
    <x v="0"/>
    <n v="299"/>
    <x v="3"/>
    <x v="0"/>
    <x v="1"/>
    <x v="11"/>
    <x v="10"/>
  </r>
  <r>
    <n v="1013"/>
    <x v="10"/>
    <x v="12"/>
    <x v="6"/>
    <x v="1"/>
    <x v="12"/>
    <x v="0"/>
    <n v="799"/>
    <x v="1"/>
    <x v="2"/>
    <x v="0"/>
    <x v="12"/>
    <x v="11"/>
  </r>
  <r>
    <n v="1014"/>
    <x v="11"/>
    <x v="13"/>
    <x v="5"/>
    <x v="0"/>
    <x v="13"/>
    <x v="0"/>
    <n v="2499"/>
    <x v="1"/>
    <x v="1"/>
    <x v="2"/>
    <x v="13"/>
    <x v="2"/>
  </r>
  <r>
    <n v="1015"/>
    <x v="12"/>
    <x v="14"/>
    <x v="1"/>
    <x v="2"/>
    <x v="14"/>
    <x v="0"/>
    <n v="599"/>
    <x v="0"/>
    <x v="0"/>
    <x v="0"/>
    <x v="14"/>
    <x v="12"/>
  </r>
  <r>
    <n v="1016"/>
    <x v="13"/>
    <x v="15"/>
    <x v="0"/>
    <x v="1"/>
    <x v="15"/>
    <x v="0"/>
    <n v="1499"/>
    <x v="1"/>
    <x v="1"/>
    <x v="1"/>
    <x v="0"/>
    <x v="4"/>
  </r>
  <r>
    <n v="1017"/>
    <x v="13"/>
    <x v="16"/>
    <x v="4"/>
    <x v="0"/>
    <x v="16"/>
    <x v="0"/>
    <n v="299"/>
    <x v="2"/>
    <x v="2"/>
    <x v="1"/>
    <x v="15"/>
    <x v="13"/>
  </r>
  <r>
    <n v="1018"/>
    <x v="14"/>
    <x v="17"/>
    <x v="2"/>
    <x v="0"/>
    <x v="17"/>
    <x v="0"/>
    <n v="1899"/>
    <x v="1"/>
    <x v="0"/>
    <x v="0"/>
    <x v="16"/>
    <x v="14"/>
  </r>
  <r>
    <n v="1019"/>
    <x v="15"/>
    <x v="18"/>
    <x v="3"/>
    <x v="1"/>
    <x v="18"/>
    <x v="0"/>
    <n v="1299"/>
    <x v="1"/>
    <x v="1"/>
    <x v="1"/>
    <x v="7"/>
    <x v="1"/>
  </r>
  <r>
    <n v="1020"/>
    <x v="16"/>
    <x v="19"/>
    <x v="6"/>
    <x v="2"/>
    <x v="19"/>
    <x v="0"/>
    <n v="499"/>
    <x v="3"/>
    <x v="0"/>
    <x v="1"/>
    <x v="6"/>
    <x v="15"/>
  </r>
  <r>
    <n v="1021"/>
    <x v="17"/>
    <x v="20"/>
    <x v="5"/>
    <x v="0"/>
    <x v="20"/>
    <x v="0"/>
    <n v="699"/>
    <x v="0"/>
    <x v="2"/>
    <x v="0"/>
    <x v="17"/>
    <x v="16"/>
  </r>
  <r>
    <n v="1022"/>
    <x v="18"/>
    <x v="21"/>
    <x v="2"/>
    <x v="1"/>
    <x v="21"/>
    <x v="0"/>
    <n v="499"/>
    <x v="2"/>
    <x v="0"/>
    <x v="1"/>
    <x v="1"/>
    <x v="17"/>
  </r>
  <r>
    <n v="1023"/>
    <x v="19"/>
    <x v="22"/>
    <x v="0"/>
    <x v="2"/>
    <x v="22"/>
    <x v="0"/>
    <n v="999"/>
    <x v="0"/>
    <x v="1"/>
    <x v="0"/>
    <x v="0"/>
    <x v="18"/>
  </r>
  <r>
    <n v="1024"/>
    <x v="20"/>
    <x v="23"/>
    <x v="1"/>
    <x v="1"/>
    <x v="23"/>
    <x v="0"/>
    <n v="2899"/>
    <x v="1"/>
    <x v="0"/>
    <x v="2"/>
    <x v="2"/>
    <x v="19"/>
  </r>
  <r>
    <n v="1025"/>
    <x v="21"/>
    <x v="24"/>
    <x v="3"/>
    <x v="0"/>
    <x v="24"/>
    <x v="0"/>
    <n v="1599"/>
    <x v="1"/>
    <x v="1"/>
    <x v="1"/>
    <x v="6"/>
    <x v="20"/>
  </r>
  <r>
    <n v="1026"/>
    <x v="22"/>
    <x v="25"/>
    <x v="4"/>
    <x v="0"/>
    <x v="25"/>
    <x v="0"/>
    <n v="499"/>
    <x v="2"/>
    <x v="2"/>
    <x v="1"/>
    <x v="18"/>
    <x v="17"/>
  </r>
  <r>
    <n v="1027"/>
    <x v="23"/>
    <x v="26"/>
    <x v="6"/>
    <x v="1"/>
    <x v="26"/>
    <x v="0"/>
    <n v="299"/>
    <x v="0"/>
    <x v="2"/>
    <x v="1"/>
    <x v="19"/>
    <x v="21"/>
  </r>
  <r>
    <n v="1028"/>
    <x v="24"/>
    <x v="27"/>
    <x v="0"/>
    <x v="2"/>
    <x v="27"/>
    <x v="0"/>
    <n v="399"/>
    <x v="3"/>
    <x v="1"/>
    <x v="0"/>
    <x v="17"/>
    <x v="22"/>
  </r>
  <r>
    <n v="1029"/>
    <x v="24"/>
    <x v="28"/>
    <x v="2"/>
    <x v="0"/>
    <x v="28"/>
    <x v="0"/>
    <n v="7999"/>
    <x v="1"/>
    <x v="2"/>
    <x v="0"/>
    <x v="20"/>
    <x v="23"/>
  </r>
  <r>
    <n v="1030"/>
    <x v="25"/>
    <x v="29"/>
    <x v="1"/>
    <x v="0"/>
    <x v="29"/>
    <x v="0"/>
    <n v="1999"/>
    <x v="1"/>
    <x v="0"/>
    <x v="3"/>
    <x v="16"/>
    <x v="7"/>
  </r>
  <r>
    <n v="1031"/>
    <x v="26"/>
    <x v="30"/>
    <x v="3"/>
    <x v="1"/>
    <x v="30"/>
    <x v="0"/>
    <n v="999"/>
    <x v="1"/>
    <x v="1"/>
    <x v="1"/>
    <x v="21"/>
    <x v="24"/>
  </r>
  <r>
    <n v="1032"/>
    <x v="27"/>
    <x v="31"/>
    <x v="4"/>
    <x v="2"/>
    <x v="31"/>
    <x v="0"/>
    <n v="299"/>
    <x v="2"/>
    <x v="0"/>
    <x v="1"/>
    <x v="22"/>
    <x v="13"/>
  </r>
  <r>
    <n v="1033"/>
    <x v="28"/>
    <x v="32"/>
    <x v="5"/>
    <x v="0"/>
    <x v="32"/>
    <x v="0"/>
    <n v="149"/>
    <x v="4"/>
    <x v="1"/>
    <x v="1"/>
    <x v="23"/>
    <x v="25"/>
  </r>
  <r>
    <n v="1034"/>
    <x v="29"/>
    <x v="33"/>
    <x v="2"/>
    <x v="1"/>
    <x v="33"/>
    <x v="0"/>
    <n v="899"/>
    <x v="1"/>
    <x v="2"/>
    <x v="1"/>
    <x v="21"/>
    <x v="26"/>
  </r>
  <r>
    <n v="1035"/>
    <x v="30"/>
    <x v="34"/>
    <x v="3"/>
    <x v="2"/>
    <x v="34"/>
    <x v="0"/>
    <n v="1299"/>
    <x v="1"/>
    <x v="0"/>
    <x v="0"/>
    <x v="7"/>
    <x v="1"/>
  </r>
  <r>
    <n v="1036"/>
    <x v="31"/>
    <x v="35"/>
    <x v="1"/>
    <x v="0"/>
    <x v="35"/>
    <x v="0"/>
    <n v="5999"/>
    <x v="1"/>
    <x v="2"/>
    <x v="2"/>
    <x v="24"/>
    <x v="27"/>
  </r>
  <r>
    <n v="1037"/>
    <x v="32"/>
    <x v="36"/>
    <x v="4"/>
    <x v="1"/>
    <x v="36"/>
    <x v="0"/>
    <n v="699"/>
    <x v="0"/>
    <x v="1"/>
    <x v="1"/>
    <x v="25"/>
    <x v="16"/>
  </r>
  <r>
    <n v="1038"/>
    <x v="32"/>
    <x v="37"/>
    <x v="6"/>
    <x v="2"/>
    <x v="37"/>
    <x v="0"/>
    <n v="249"/>
    <x v="2"/>
    <x v="0"/>
    <x v="1"/>
    <x v="26"/>
    <x v="28"/>
  </r>
  <r>
    <n v="1039"/>
    <x v="33"/>
    <x v="38"/>
    <x v="0"/>
    <x v="0"/>
    <x v="38"/>
    <x v="0"/>
    <n v="14999"/>
    <x v="1"/>
    <x v="2"/>
    <x v="0"/>
    <x v="27"/>
    <x v="29"/>
  </r>
  <r>
    <n v="1040"/>
    <x v="34"/>
    <x v="39"/>
    <x v="2"/>
    <x v="1"/>
    <x v="39"/>
    <x v="0"/>
    <n v="1999"/>
    <x v="1"/>
    <x v="1"/>
    <x v="1"/>
    <x v="16"/>
    <x v="7"/>
  </r>
  <r>
    <n v="1041"/>
    <x v="35"/>
    <x v="40"/>
    <x v="3"/>
    <x v="2"/>
    <x v="40"/>
    <x v="0"/>
    <n v="699"/>
    <x v="0"/>
    <x v="0"/>
    <x v="1"/>
    <x v="7"/>
    <x v="16"/>
  </r>
  <r>
    <n v="1042"/>
    <x v="36"/>
    <x v="41"/>
    <x v="4"/>
    <x v="0"/>
    <x v="41"/>
    <x v="0"/>
    <n v="1999"/>
    <x v="1"/>
    <x v="1"/>
    <x v="1"/>
    <x v="0"/>
    <x v="7"/>
  </r>
  <r>
    <n v="1043"/>
    <x v="37"/>
    <x v="42"/>
    <x v="5"/>
    <x v="1"/>
    <x v="42"/>
    <x v="0"/>
    <n v="299"/>
    <x v="0"/>
    <x v="0"/>
    <x v="1"/>
    <x v="28"/>
    <x v="21"/>
  </r>
  <r>
    <n v="1044"/>
    <x v="38"/>
    <x v="43"/>
    <x v="1"/>
    <x v="2"/>
    <x v="43"/>
    <x v="0"/>
    <n v="499"/>
    <x v="2"/>
    <x v="2"/>
    <x v="1"/>
    <x v="11"/>
    <x v="17"/>
  </r>
  <r>
    <n v="1045"/>
    <x v="39"/>
    <x v="44"/>
    <x v="0"/>
    <x v="0"/>
    <x v="44"/>
    <x v="0"/>
    <n v="1299"/>
    <x v="1"/>
    <x v="0"/>
    <x v="0"/>
    <x v="7"/>
    <x v="1"/>
  </r>
  <r>
    <n v="1046"/>
    <x v="40"/>
    <x v="45"/>
    <x v="2"/>
    <x v="1"/>
    <x v="45"/>
    <x v="0"/>
    <n v="2499"/>
    <x v="1"/>
    <x v="1"/>
    <x v="2"/>
    <x v="13"/>
    <x v="2"/>
  </r>
  <r>
    <n v="1047"/>
    <x v="41"/>
    <x v="46"/>
    <x v="3"/>
    <x v="2"/>
    <x v="46"/>
    <x v="0"/>
    <n v="399"/>
    <x v="5"/>
    <x v="2"/>
    <x v="1"/>
    <x v="0"/>
    <x v="30"/>
  </r>
  <r>
    <n v="1048"/>
    <x v="42"/>
    <x v="47"/>
    <x v="4"/>
    <x v="0"/>
    <x v="47"/>
    <x v="0"/>
    <n v="24999"/>
    <x v="1"/>
    <x v="0"/>
    <x v="2"/>
    <x v="29"/>
    <x v="31"/>
  </r>
  <r>
    <n v="1049"/>
    <x v="43"/>
    <x v="48"/>
    <x v="5"/>
    <x v="1"/>
    <x v="48"/>
    <x v="0"/>
    <n v="499"/>
    <x v="0"/>
    <x v="1"/>
    <x v="1"/>
    <x v="12"/>
    <x v="32"/>
  </r>
  <r>
    <n v="1050"/>
    <x v="44"/>
    <x v="49"/>
    <x v="1"/>
    <x v="2"/>
    <x v="49"/>
    <x v="0"/>
    <n v="999"/>
    <x v="1"/>
    <x v="0"/>
    <x v="0"/>
    <x v="21"/>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D330C-399E-354E-856D-EE2D444B380C}"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20" firstHeaderRow="1" firstDataRow="1" firstDataCol="1"/>
  <pivotFields count="1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8">
        <item x="1"/>
        <item x="6"/>
        <item x="2"/>
        <item x="0"/>
        <item x="5"/>
        <item x="3"/>
        <item x="4"/>
        <item t="default"/>
      </items>
    </pivotField>
    <pivotField showAll="0">
      <items count="4">
        <item x="0"/>
        <item x="1"/>
        <item x="2"/>
        <item t="default"/>
      </items>
    </pivotField>
    <pivotField showAll="0"/>
    <pivotField showAll="0">
      <items count="4">
        <item x="2"/>
        <item x="0"/>
        <item x="1"/>
        <item t="default"/>
      </items>
    </pivotField>
    <pivotField showAll="0"/>
    <pivotField showAll="0"/>
    <pivotField showAll="0">
      <items count="4">
        <item x="2"/>
        <item x="1"/>
        <item x="0"/>
        <item t="default"/>
      </items>
    </pivotField>
    <pivotField showAll="0"/>
    <pivotField showAll="0"/>
    <pivotField showAll="0"/>
  </pivotFields>
  <rowFields count="1">
    <field x="3"/>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90144-6127-ED45-9952-F74E1AD333D1}"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howAll="0"/>
    <pivotField showAll="0">
      <items count="8">
        <item x="1"/>
        <item x="6"/>
        <item x="2"/>
        <item x="0"/>
        <item x="5"/>
        <item x="3"/>
        <item x="4"/>
        <item t="default"/>
      </items>
    </pivotField>
    <pivotField showAll="0">
      <items count="4">
        <item x="0"/>
        <item x="1"/>
        <item x="2"/>
        <item t="default"/>
      </items>
    </pivotField>
    <pivotField showAll="0"/>
    <pivotField showAll="0">
      <items count="4">
        <item x="2"/>
        <item x="0"/>
        <item x="1"/>
        <item t="default"/>
      </items>
    </pivotField>
    <pivotField showAll="0"/>
    <pivotField dataField="1" showAll="0"/>
    <pivotField showAll="0">
      <items count="4">
        <item x="2"/>
        <item x="1"/>
        <item x="0"/>
        <item t="default"/>
      </items>
    </pivotField>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2" baseField="0" baseItem="0"/>
    <dataField name="Sum of Profit" fld="11" baseField="0" baseItem="0"/>
    <dataField name="Sum of Quantity" fld="8" baseField="0" baseItem="0"/>
    <dataField name="Count of Custome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F92E67-FD20-1A4C-83C3-A2F3CA5DC97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41">
  <location ref="A3:B7" firstHeaderRow="1" firstDataRow="1" firstDataCol="1"/>
  <pivotFields count="13">
    <pivotField showAll="0"/>
    <pivotField numFmtId="14" showAll="0"/>
    <pivotField showAll="0"/>
    <pivotField showAll="0">
      <items count="8">
        <item x="1"/>
        <item x="6"/>
        <item x="2"/>
        <item x="0"/>
        <item x="5"/>
        <item x="3"/>
        <item x="4"/>
        <item t="default"/>
      </items>
    </pivotField>
    <pivotField axis="axisRow" showAll="0">
      <items count="4">
        <item sd="0"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items count="4">
        <item x="2"/>
        <item x="1"/>
        <item x="0"/>
        <item t="default"/>
      </items>
    </pivotField>
    <pivotField showAll="0"/>
    <pivotField showAll="0"/>
    <pivotField dataField="1" showAll="0"/>
  </pivotFields>
  <rowFields count="1">
    <field x="4"/>
  </rowFields>
  <rowItems count="4">
    <i>
      <x/>
    </i>
    <i>
      <x v="1"/>
    </i>
    <i>
      <x v="2"/>
    </i>
    <i t="grand">
      <x/>
    </i>
  </rowItems>
  <colItems count="1">
    <i/>
  </colItems>
  <dataFields count="1">
    <dataField name="Sum of Total Sales" fld="12" baseField="0" baseItem="0"/>
  </dataFields>
  <chartFormats count="8">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4" count="1" selected="0">
            <x v="0"/>
          </reference>
        </references>
      </pivotArea>
    </chartFormat>
    <chartFormat chart="27" format="23">
      <pivotArea type="data" outline="0" fieldPosition="0">
        <references count="2">
          <reference field="4294967294" count="1" selected="0">
            <x v="0"/>
          </reference>
          <reference field="4" count="1" selected="0">
            <x v="1"/>
          </reference>
        </references>
      </pivotArea>
    </chartFormat>
    <chartFormat chart="27" format="24">
      <pivotArea type="data" outline="0" fieldPosition="0">
        <references count="2">
          <reference field="4294967294" count="1" selected="0">
            <x v="0"/>
          </reference>
          <reference field="4" count="1" selected="0">
            <x v="2"/>
          </reference>
        </references>
      </pivotArea>
    </chartFormat>
    <chartFormat chart="29" format="29" series="1">
      <pivotArea type="data" outline="0" fieldPosition="0">
        <references count="1">
          <reference field="4294967294" count="1" selected="0">
            <x v="0"/>
          </reference>
        </references>
      </pivotArea>
    </chartFormat>
    <chartFormat chart="29" format="30">
      <pivotArea type="data" outline="0" fieldPosition="0">
        <references count="2">
          <reference field="4294967294" count="1" selected="0">
            <x v="0"/>
          </reference>
          <reference field="4" count="1" selected="0">
            <x v="0"/>
          </reference>
        </references>
      </pivotArea>
    </chartFormat>
    <chartFormat chart="29" format="31">
      <pivotArea type="data" outline="0" fieldPosition="0">
        <references count="2">
          <reference field="4294967294" count="1" selected="0">
            <x v="0"/>
          </reference>
          <reference field="4" count="1" selected="0">
            <x v="1"/>
          </reference>
        </references>
      </pivotArea>
    </chartFormat>
    <chartFormat chart="29" format="3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65F6F3-7841-3343-B71E-6C10038B50C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13">
  <location ref="C8:D12" firstHeaderRow="1" firstDataRow="1" firstDataCol="1"/>
  <pivotFields count="13">
    <pivotField showAll="0"/>
    <pivotField numFmtId="14" showAll="0"/>
    <pivotField showAll="0"/>
    <pivotField showAll="0">
      <items count="8">
        <item x="1"/>
        <item x="6"/>
        <item x="2"/>
        <item x="0"/>
        <item x="5"/>
        <item x="3"/>
        <item x="4"/>
        <item t="default"/>
      </items>
    </pivotField>
    <pivotField showAll="0">
      <items count="4">
        <item sd="0"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axis="axisRow" showAll="0">
      <items count="4">
        <item x="2"/>
        <item x="0"/>
        <item x="1"/>
        <item t="default"/>
      </items>
    </pivotField>
    <pivotField showAll="0"/>
    <pivotField dataField="1" showAll="0"/>
    <pivotField showAll="0">
      <items count="4">
        <item x="2"/>
        <item x="1"/>
        <item x="0"/>
        <item t="default"/>
      </items>
    </pivotField>
    <pivotField showAll="0"/>
    <pivotField showAll="0"/>
    <pivotField showAll="0"/>
  </pivotFields>
  <rowFields count="1">
    <field x="6"/>
  </rowFields>
  <rowItems count="4">
    <i>
      <x/>
    </i>
    <i>
      <x v="1"/>
    </i>
    <i>
      <x v="2"/>
    </i>
    <i t="grand">
      <x/>
    </i>
  </rowItems>
  <colItems count="1">
    <i/>
  </colItems>
  <dataFields count="1">
    <dataField name="Sum of Quantity" fld="8"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74C1DE-4C50-7E4A-8043-794890D7ABC7}"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17">
  <location ref="B4:D8" firstHeaderRow="0" firstDataRow="1" firstDataCol="1"/>
  <pivotFields count="13">
    <pivotField showAll="0"/>
    <pivotField numFmtId="14" showAll="0"/>
    <pivotField showAll="0"/>
    <pivotField showAll="0">
      <items count="8">
        <item x="1"/>
        <item x="6"/>
        <item x="2"/>
        <item x="0"/>
        <item x="5"/>
        <item x="3"/>
        <item x="4"/>
        <item t="default"/>
      </items>
    </pivotField>
    <pivotField axis="axisRow" showAll="0">
      <items count="4">
        <item sd="0"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items count="4">
        <item x="2"/>
        <item x="1"/>
        <item x="0"/>
        <item t="default"/>
      </items>
    </pivotField>
    <pivotField showAll="0"/>
    <pivotField dataField="1" showAll="0"/>
    <pivotField dataField="1" showAll="0"/>
  </pivotFields>
  <rowFields count="1">
    <field x="4"/>
  </rowFields>
  <rowItems count="4">
    <i>
      <x/>
    </i>
    <i>
      <x v="1"/>
    </i>
    <i>
      <x v="2"/>
    </i>
    <i t="grand">
      <x/>
    </i>
  </rowItems>
  <colFields count="1">
    <field x="-2"/>
  </colFields>
  <colItems count="2">
    <i>
      <x/>
    </i>
    <i i="1">
      <x v="1"/>
    </i>
  </colItems>
  <dataFields count="2">
    <dataField name="Sum of Total Sales" fld="12" baseField="0" baseItem="0"/>
    <dataField name="Sum of Profit" fld="11"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BC3E98-9F73-CE40-8CE6-F1160C03359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17">
  <location ref="C9:D14" firstHeaderRow="1" firstDataRow="1" firstDataCol="1"/>
  <pivotFields count="13">
    <pivotField showAll="0"/>
    <pivotField numFmtId="14" showAll="0"/>
    <pivotField showAll="0"/>
    <pivotField showAll="0">
      <items count="8">
        <item x="1"/>
        <item x="6"/>
        <item x="2"/>
        <item x="0"/>
        <item x="5"/>
        <item x="3"/>
        <item x="4"/>
        <item t="default"/>
      </items>
    </pivotField>
    <pivotField showAll="0">
      <items count="4">
        <item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dataField="1" showAll="0">
      <items count="7">
        <item x="1"/>
        <item x="0"/>
        <item x="2"/>
        <item x="3"/>
        <item x="5"/>
        <item x="4"/>
        <item t="default"/>
      </items>
    </pivotField>
    <pivotField showAll="0">
      <items count="4">
        <item x="2"/>
        <item x="1"/>
        <item x="0"/>
        <item t="default"/>
      </items>
    </pivotField>
    <pivotField axis="axisRow" showAll="0">
      <items count="5">
        <item x="1"/>
        <item x="0"/>
        <item x="3"/>
        <item x="2"/>
        <item t="default"/>
      </items>
    </pivotField>
    <pivotField showAll="0"/>
    <pivotField showAll="0"/>
  </pivotFields>
  <rowFields count="1">
    <field x="10"/>
  </rowFields>
  <rowItems count="5">
    <i>
      <x/>
    </i>
    <i>
      <x v="1"/>
    </i>
    <i>
      <x v="2"/>
    </i>
    <i>
      <x v="3"/>
    </i>
    <i t="grand">
      <x/>
    </i>
  </rowItems>
  <colItems count="1">
    <i/>
  </colItems>
  <dataFields count="1">
    <dataField name="Sum of Quantity" fld="8"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137D4E-715F-C445-9A70-3EBDB2A8977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31">
  <location ref="B5:C13" firstHeaderRow="1" firstDataRow="1" firstDataCol="1"/>
  <pivotFields count="13">
    <pivotField showAll="0"/>
    <pivotField numFmtId="14" showAll="0"/>
    <pivotField showAll="0"/>
    <pivotField axis="axisRow" showAll="0">
      <items count="8">
        <item x="1"/>
        <item x="6"/>
        <item x="2"/>
        <item x="0"/>
        <item x="5"/>
        <item x="3"/>
        <item x="4"/>
        <item t="default"/>
      </items>
    </pivotField>
    <pivotField showAll="0">
      <items count="4">
        <item sd="0"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items count="4">
        <item x="2"/>
        <item x="1"/>
        <item x="0"/>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Sales" fld="12"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862FB2-E22A-2A4F-9ACB-F25C38C9C54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14">
  <location ref="B6:C10" firstHeaderRow="1" firstDataRow="1" firstDataCol="1"/>
  <pivotFields count="13">
    <pivotField showAll="0"/>
    <pivotField numFmtId="14" showAll="0"/>
    <pivotField showAll="0"/>
    <pivotField showAll="0">
      <items count="8">
        <item x="1"/>
        <item x="6"/>
        <item x="2"/>
        <item x="0"/>
        <item x="5"/>
        <item x="3"/>
        <item x="4"/>
        <item t="default"/>
      </items>
    </pivotField>
    <pivotField showAll="0">
      <items count="4">
        <item sd="0"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axis="axisRow" dataField="1" showAll="0">
      <items count="4">
        <item x="2"/>
        <item x="1"/>
        <item x="0"/>
        <item t="default"/>
      </items>
    </pivotField>
    <pivotField showAll="0"/>
    <pivotField showAll="0"/>
    <pivotField showAll="0"/>
  </pivotFields>
  <rowFields count="1">
    <field x="9"/>
  </rowFields>
  <rowItems count="4">
    <i>
      <x/>
    </i>
    <i>
      <x v="1"/>
    </i>
    <i>
      <x v="2"/>
    </i>
    <i t="grand">
      <x/>
    </i>
  </rowItems>
  <colItems count="1">
    <i/>
  </colItems>
  <dataFields count="1">
    <dataField name="Count of Payment Mode" fld="9" subtotal="count" baseField="0" baseItem="0"/>
  </dataFields>
  <chartFormats count="8">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6" format="7">
      <pivotArea type="data" outline="0" fieldPosition="0">
        <references count="2">
          <reference field="4294967294" count="1" selected="0">
            <x v="0"/>
          </reference>
          <reference field="9"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1ABEF5-887C-4E49-89C3-6DEE1428E8A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chartFormat="3">
  <location ref="B4:C8" firstHeaderRow="1" firstDataRow="1" firstDataCol="1"/>
  <pivotFields count="13">
    <pivotField showAll="0"/>
    <pivotField numFmtId="14" showAll="0"/>
    <pivotField showAll="0"/>
    <pivotField showAll="0">
      <items count="8">
        <item x="1"/>
        <item x="6"/>
        <item x="2"/>
        <item x="0"/>
        <item x="5"/>
        <item x="3"/>
        <item x="4"/>
        <item t="default"/>
      </items>
    </pivotField>
    <pivotField axis="axisRow" showAll="0">
      <items count="4">
        <item sd="0" x="0"/>
        <item sd="0" x="1"/>
        <item sd="0"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items count="4">
        <item x="2"/>
        <item x="1"/>
        <item x="0"/>
        <item t="default"/>
      </items>
    </pivotField>
    <pivotField showAll="0"/>
    <pivotField showAll="0"/>
    <pivotField dataField="1" showAll="0"/>
  </pivotFields>
  <rowFields count="1">
    <field x="4"/>
  </rowFields>
  <rowItems count="4">
    <i>
      <x/>
    </i>
    <i>
      <x v="1"/>
    </i>
    <i>
      <x v="2"/>
    </i>
    <i t="grand">
      <x/>
    </i>
  </rowItems>
  <colItems count="1">
    <i/>
  </colItems>
  <dataFields count="1">
    <dataField name="Average of Total Sales" fld="12"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818758-392E-2A4B-B4C8-99C63C77A396}" sourceName="Category">
  <pivotTables>
    <pivotTable tabId="10" name="PivotTable1"/>
    <pivotTable tabId="11" name="PivotTable3"/>
    <pivotTable tabId="14" name="PivotTable5"/>
    <pivotTable tabId="4" name="PivotTable8"/>
    <pivotTable tabId="15" name="PivotTable7"/>
    <pivotTable tabId="13" name="PivotTable2"/>
    <pivotTable tabId="16" name="PivotTable6"/>
    <pivotTable tabId="12" name="PivotTable4"/>
    <pivotTable tabId="4" name="PivotTable10"/>
  </pivotTables>
  <data>
    <tabular pivotCacheId="132636825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D81B3A2-390A-A842-BABD-6C1752901AA1}" sourceName="Order Status">
  <pivotTables>
    <pivotTable tabId="10" name="PivotTable1"/>
    <pivotTable tabId="11" name="PivotTable3"/>
    <pivotTable tabId="14" name="PivotTable5"/>
    <pivotTable tabId="4" name="PivotTable8"/>
    <pivotTable tabId="15" name="PivotTable7"/>
    <pivotTable tabId="13" name="PivotTable2"/>
    <pivotTable tabId="16" name="PivotTable6"/>
    <pivotTable tabId="12" name="PivotTable4"/>
    <pivotTable tabId="4" name="PivotTable10"/>
  </pivotTables>
  <data>
    <tabular pivotCacheId="132636825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0F6814D-0837-E34B-9E09-0403BEF989F4}" sourceName="Payment Mode">
  <pivotTables>
    <pivotTable tabId="10" name="PivotTable1"/>
    <pivotTable tabId="11" name="PivotTable3"/>
    <pivotTable tabId="14" name="PivotTable5"/>
    <pivotTable tabId="4" name="PivotTable8"/>
    <pivotTable tabId="15" name="PivotTable7"/>
    <pivotTable tabId="13" name="PivotTable2"/>
    <pivotTable tabId="16" name="PivotTable6"/>
    <pivotTable tabId="12" name="PivotTable4"/>
    <pivotTable tabId="4" name="PivotTable10"/>
  </pivotTables>
  <data>
    <tabular pivotCacheId="13263682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87A9E11-489A-CC4F-8029-6F964BA6BF0F}" sourceName="City">
  <pivotTables>
    <pivotTable tabId="4" name="PivotTable8"/>
    <pivotTable tabId="4" name="PivotTable10"/>
  </pivotTables>
  <data>
    <tabular pivotCacheId="1326368253">
      <items count="7">
        <i x="1" s="1"/>
        <i x="6" s="1"/>
        <i x="2"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0603625-4CE6-9746-BA8B-401D252CD43A}" cache="Slicer_Category" caption="Category" style="SlicerStyleDark5" rowHeight="230716"/>
  <slicer name="Order Status" xr10:uid="{F4001484-21F7-2544-8FB7-496170934AA1}" cache="Slicer_Order_Status" caption="Order Status" style="SlicerStyleDark5" rowHeight="230716"/>
  <slicer name="Payment Mode" xr10:uid="{D49BE3BA-FB77-154D-93F3-323C91347D27}" cache="Slicer_Payment_Mode" caption="Payment Mode" style="SlicerStyleDark5" rowHeight="230716"/>
  <slicer name="City" xr10:uid="{8097057A-1AE3-0946-B38E-2CFA24810FAB}" cache="Slicer_City" caption="City" style="SlicerStyleDark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853BF1-B54E-F44A-89FA-93720CD386CF}" name="Table1" displayName="Table1" ref="A1:M51" totalsRowShown="0" headerRowDxfId="15" dataDxfId="14" tableBorderDxfId="13">
  <autoFilter ref="A1:M51" xr:uid="{7C853BF1-B54E-F44A-89FA-93720CD386CF}"/>
  <tableColumns count="13">
    <tableColumn id="1" xr3:uid="{C9957444-DD2B-3940-907F-7F2E66346615}" name="Order ID" dataDxfId="12"/>
    <tableColumn id="2" xr3:uid="{42D3551C-708D-2042-B220-ABBF2EAE8E3B}" name="Order Date" dataDxfId="11"/>
    <tableColumn id="3" xr3:uid="{C5E33AFB-D892-D74C-8835-A542E50E9089}" name="Customer Name" dataDxfId="10"/>
    <tableColumn id="4" xr3:uid="{808D6BF4-567A-AB4E-B696-37227DBC5FC3}" name="City" dataDxfId="9"/>
    <tableColumn id="5" xr3:uid="{B4686BE2-C9F1-3146-BAD6-7FA676DF6842}" name="Category" dataDxfId="8"/>
    <tableColumn id="6" xr3:uid="{78667C2D-21ED-6A4D-8815-D297EE72079B}" name="Product Name" dataDxfId="7"/>
    <tableColumn id="7" xr3:uid="{3ED5CD3A-0B47-1A4C-A681-F0BD32B792E0}" name="Order Status" dataDxfId="6"/>
    <tableColumn id="8" xr3:uid="{91C1BB0B-E9D3-A44B-A179-2FB2BEE909F0}" name="Unit Price" dataDxfId="5"/>
    <tableColumn id="9" xr3:uid="{F81A94C6-99CD-C343-BF5A-154DC723B38D}" name="Quantity" dataDxfId="4"/>
    <tableColumn id="10" xr3:uid="{FCBA289B-4D54-1B4A-94D9-1A99CF5C7858}" name="Payment Mode" dataDxfId="3"/>
    <tableColumn id="11" xr3:uid="{18E69B37-6672-1941-8AAA-4614083EA5C1}" name="Discount %" dataDxfId="2"/>
    <tableColumn id="12" xr3:uid="{56FBDE9F-5236-5E4D-B458-F67151B99122}" name="Profit" dataDxfId="1"/>
    <tableColumn id="13" xr3:uid="{6267C8DF-BDC1-EA4D-9930-22A9E4763D8C}" name="Total Sales" dataDxfId="0">
      <calculatedColumnFormula>Sales_Data!$H2*Sales_Data!$I2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M51"/>
  <sheetViews>
    <sheetView tabSelected="1" topLeftCell="A57" zoomScale="144" workbookViewId="0">
      <selection activeCell="A8" sqref="A8"/>
    </sheetView>
  </sheetViews>
  <sheetFormatPr baseColWidth="10" defaultColWidth="8.83203125" defaultRowHeight="15" x14ac:dyDescent="0.2"/>
  <cols>
    <col min="1" max="1" width="9.83203125" customWidth="1"/>
    <col min="2" max="2" width="12" customWidth="1"/>
    <col min="3" max="3" width="16" customWidth="1"/>
    <col min="4" max="4" width="9.33203125" bestFit="1" customWidth="1"/>
    <col min="5" max="5" width="10.5" bestFit="1" customWidth="1"/>
    <col min="6" max="6" width="15" bestFit="1" customWidth="1"/>
    <col min="7" max="7" width="13" customWidth="1"/>
    <col min="8" max="8" width="10.6640625" customWidth="1"/>
    <col min="9" max="9" width="9.83203125" customWidth="1"/>
    <col min="10" max="10" width="15.1640625" customWidth="1"/>
    <col min="11" max="11" width="11.5" customWidth="1"/>
    <col min="12" max="12" width="7.5" customWidth="1"/>
    <col min="13" max="13" width="10.5" customWidth="1"/>
  </cols>
  <sheetData>
    <row r="1" spans="1:13" s="1" customFormat="1" x14ac:dyDescent="0.2">
      <c r="A1" s="8" t="s">
        <v>0</v>
      </c>
      <c r="B1" s="8" t="s">
        <v>1</v>
      </c>
      <c r="C1" s="8" t="s">
        <v>2</v>
      </c>
      <c r="D1" s="8" t="s">
        <v>3</v>
      </c>
      <c r="E1" s="8" t="s">
        <v>127</v>
      </c>
      <c r="F1" s="8" t="s">
        <v>4</v>
      </c>
      <c r="G1" s="8" t="s">
        <v>8</v>
      </c>
      <c r="H1" s="8" t="s">
        <v>5</v>
      </c>
      <c r="I1" s="8" t="s">
        <v>6</v>
      </c>
      <c r="J1" s="8" t="s">
        <v>7</v>
      </c>
      <c r="K1" s="8" t="s">
        <v>9</v>
      </c>
      <c r="L1" s="8" t="s">
        <v>10</v>
      </c>
      <c r="M1" s="8" t="s">
        <v>131</v>
      </c>
    </row>
    <row r="2" spans="1:13" x14ac:dyDescent="0.2">
      <c r="A2" s="5">
        <v>1001</v>
      </c>
      <c r="B2" s="4">
        <v>45294</v>
      </c>
      <c r="C2" s="5" t="s">
        <v>11</v>
      </c>
      <c r="D2" s="5" t="s">
        <v>12</v>
      </c>
      <c r="E2" s="5" t="s">
        <v>13</v>
      </c>
      <c r="F2" s="5" t="s">
        <v>14</v>
      </c>
      <c r="G2" s="5" t="s">
        <v>16</v>
      </c>
      <c r="H2" s="5">
        <v>799</v>
      </c>
      <c r="I2" s="5">
        <v>2</v>
      </c>
      <c r="J2" s="5" t="s">
        <v>15</v>
      </c>
      <c r="K2" s="5">
        <v>5</v>
      </c>
      <c r="L2" s="5">
        <v>350</v>
      </c>
      <c r="M2" s="5">
        <f>Sales_Data!$H2*Sales_Data!$I2</f>
        <v>1598</v>
      </c>
    </row>
    <row r="3" spans="1:13" x14ac:dyDescent="0.2">
      <c r="A3" s="7">
        <v>1002</v>
      </c>
      <c r="B3" s="6">
        <v>45296</v>
      </c>
      <c r="C3" s="7" t="s">
        <v>17</v>
      </c>
      <c r="D3" s="7" t="s">
        <v>18</v>
      </c>
      <c r="E3" s="7" t="s">
        <v>13</v>
      </c>
      <c r="F3" s="7" t="s">
        <v>19</v>
      </c>
      <c r="G3" s="7" t="s">
        <v>16</v>
      </c>
      <c r="H3" s="7">
        <v>1299</v>
      </c>
      <c r="I3" s="7">
        <v>1</v>
      </c>
      <c r="J3" s="7" t="s">
        <v>20</v>
      </c>
      <c r="K3" s="7">
        <v>0</v>
      </c>
      <c r="L3" s="7">
        <v>280</v>
      </c>
      <c r="M3" s="7">
        <f>Sales_Data!$H3*Sales_Data!$I3</f>
        <v>1299</v>
      </c>
    </row>
    <row r="4" spans="1:13" x14ac:dyDescent="0.2">
      <c r="A4" s="5">
        <v>1003</v>
      </c>
      <c r="B4" s="4">
        <v>45297</v>
      </c>
      <c r="C4" s="5" t="s">
        <v>21</v>
      </c>
      <c r="D4" s="5" t="s">
        <v>22</v>
      </c>
      <c r="E4" s="5" t="s">
        <v>23</v>
      </c>
      <c r="F4" s="5" t="s">
        <v>24</v>
      </c>
      <c r="G4" s="5" t="s">
        <v>16</v>
      </c>
      <c r="H4" s="5">
        <v>2499</v>
      </c>
      <c r="I4" s="5">
        <v>1</v>
      </c>
      <c r="J4" s="5" t="s">
        <v>25</v>
      </c>
      <c r="K4" s="5">
        <v>10</v>
      </c>
      <c r="L4" s="5">
        <v>600</v>
      </c>
      <c r="M4" s="5">
        <f>Sales_Data!$H4*Sales_Data!$I4</f>
        <v>2499</v>
      </c>
    </row>
    <row r="5" spans="1:13" x14ac:dyDescent="0.2">
      <c r="A5" s="7">
        <v>1004</v>
      </c>
      <c r="B5" s="6">
        <v>45298</v>
      </c>
      <c r="C5" s="7" t="s">
        <v>26</v>
      </c>
      <c r="D5" s="7" t="s">
        <v>27</v>
      </c>
      <c r="E5" s="7" t="s">
        <v>28</v>
      </c>
      <c r="F5" s="7" t="s">
        <v>29</v>
      </c>
      <c r="G5" s="7" t="s">
        <v>16</v>
      </c>
      <c r="H5" s="7">
        <v>999</v>
      </c>
      <c r="I5" s="7">
        <v>3</v>
      </c>
      <c r="J5" s="7" t="s">
        <v>15</v>
      </c>
      <c r="K5" s="7">
        <v>0</v>
      </c>
      <c r="L5" s="7">
        <v>720</v>
      </c>
      <c r="M5" s="7">
        <f>Sales_Data!$H5*Sales_Data!$I5</f>
        <v>2997</v>
      </c>
    </row>
    <row r="6" spans="1:13" x14ac:dyDescent="0.2">
      <c r="A6" s="5">
        <v>1005</v>
      </c>
      <c r="B6" s="4">
        <v>45299</v>
      </c>
      <c r="C6" s="5" t="s">
        <v>30</v>
      </c>
      <c r="D6" s="5" t="s">
        <v>31</v>
      </c>
      <c r="E6" s="5" t="s">
        <v>13</v>
      </c>
      <c r="F6" s="5" t="s">
        <v>32</v>
      </c>
      <c r="G6" s="5" t="s">
        <v>33</v>
      </c>
      <c r="H6" s="5">
        <v>1499</v>
      </c>
      <c r="I6" s="5">
        <v>1</v>
      </c>
      <c r="J6" s="5" t="s">
        <v>15</v>
      </c>
      <c r="K6" s="5">
        <v>0</v>
      </c>
      <c r="L6" s="5">
        <v>-149</v>
      </c>
      <c r="M6" s="5">
        <f>Sales_Data!$H6*Sales_Data!$I6</f>
        <v>1499</v>
      </c>
    </row>
    <row r="7" spans="1:13" x14ac:dyDescent="0.2">
      <c r="A7" s="7">
        <v>1006</v>
      </c>
      <c r="B7" s="6">
        <v>45300</v>
      </c>
      <c r="C7" s="7" t="s">
        <v>34</v>
      </c>
      <c r="D7" s="7" t="s">
        <v>35</v>
      </c>
      <c r="E7" s="7" t="s">
        <v>13</v>
      </c>
      <c r="F7" s="7" t="s">
        <v>36</v>
      </c>
      <c r="G7" s="7" t="s">
        <v>16</v>
      </c>
      <c r="H7" s="7">
        <v>1099</v>
      </c>
      <c r="I7" s="7">
        <v>2</v>
      </c>
      <c r="J7" s="7" t="s">
        <v>25</v>
      </c>
      <c r="K7" s="7">
        <v>5</v>
      </c>
      <c r="L7" s="7">
        <v>460</v>
      </c>
      <c r="M7" s="7">
        <f>Sales_Data!$H7*Sales_Data!$I7</f>
        <v>2198</v>
      </c>
    </row>
    <row r="8" spans="1:13" x14ac:dyDescent="0.2">
      <c r="A8" s="5">
        <v>1007</v>
      </c>
      <c r="B8" s="4">
        <v>45300</v>
      </c>
      <c r="C8" s="5" t="s">
        <v>37</v>
      </c>
      <c r="D8" s="5" t="s">
        <v>38</v>
      </c>
      <c r="E8" s="5" t="s">
        <v>23</v>
      </c>
      <c r="F8" s="5" t="s">
        <v>39</v>
      </c>
      <c r="G8" s="5" t="s">
        <v>16</v>
      </c>
      <c r="H8" s="5">
        <v>599</v>
      </c>
      <c r="I8" s="5">
        <v>3</v>
      </c>
      <c r="J8" s="5" t="s">
        <v>20</v>
      </c>
      <c r="K8" s="5">
        <v>0</v>
      </c>
      <c r="L8" s="5">
        <v>300</v>
      </c>
      <c r="M8" s="5">
        <f>Sales_Data!$H8*Sales_Data!$I8</f>
        <v>1797</v>
      </c>
    </row>
    <row r="9" spans="1:13" x14ac:dyDescent="0.2">
      <c r="A9" s="7">
        <v>1008</v>
      </c>
      <c r="B9" s="6">
        <v>45301</v>
      </c>
      <c r="C9" s="7" t="s">
        <v>40</v>
      </c>
      <c r="D9" s="7" t="s">
        <v>12</v>
      </c>
      <c r="E9" s="7" t="s">
        <v>28</v>
      </c>
      <c r="F9" s="7" t="s">
        <v>41</v>
      </c>
      <c r="G9" s="7" t="s">
        <v>16</v>
      </c>
      <c r="H9" s="7">
        <v>1299</v>
      </c>
      <c r="I9" s="7">
        <v>1</v>
      </c>
      <c r="J9" s="7" t="s">
        <v>15</v>
      </c>
      <c r="K9" s="7">
        <v>5</v>
      </c>
      <c r="L9" s="7">
        <v>250</v>
      </c>
      <c r="M9" s="7">
        <f>Sales_Data!$H9*Sales_Data!$I9</f>
        <v>1299</v>
      </c>
    </row>
    <row r="10" spans="1:13" x14ac:dyDescent="0.2">
      <c r="A10" s="5">
        <v>1009</v>
      </c>
      <c r="B10" s="4">
        <v>45302</v>
      </c>
      <c r="C10" s="5" t="s">
        <v>42</v>
      </c>
      <c r="D10" s="5" t="s">
        <v>18</v>
      </c>
      <c r="E10" s="5" t="s">
        <v>23</v>
      </c>
      <c r="F10" s="5" t="s">
        <v>43</v>
      </c>
      <c r="G10" s="5" t="s">
        <v>16</v>
      </c>
      <c r="H10" s="5">
        <v>1999</v>
      </c>
      <c r="I10" s="5">
        <v>1</v>
      </c>
      <c r="J10" s="5" t="s">
        <v>25</v>
      </c>
      <c r="K10" s="5">
        <v>8</v>
      </c>
      <c r="L10" s="5">
        <v>450</v>
      </c>
      <c r="M10" s="5">
        <f>Sales_Data!$H10*Sales_Data!$I10</f>
        <v>1999</v>
      </c>
    </row>
    <row r="11" spans="1:13" x14ac:dyDescent="0.2">
      <c r="A11" s="7">
        <v>1010</v>
      </c>
      <c r="B11" s="6">
        <v>45303</v>
      </c>
      <c r="C11" s="7" t="s">
        <v>44</v>
      </c>
      <c r="D11" s="7" t="s">
        <v>27</v>
      </c>
      <c r="E11" s="7" t="s">
        <v>13</v>
      </c>
      <c r="F11" s="7" t="s">
        <v>45</v>
      </c>
      <c r="G11" s="7" t="s">
        <v>46</v>
      </c>
      <c r="H11" s="7">
        <v>2999</v>
      </c>
      <c r="I11" s="7">
        <v>1</v>
      </c>
      <c r="J11" s="7" t="s">
        <v>15</v>
      </c>
      <c r="K11" s="7">
        <v>0</v>
      </c>
      <c r="L11" s="7">
        <v>0</v>
      </c>
      <c r="M11" s="7">
        <f>Sales_Data!$H11*Sales_Data!$I11</f>
        <v>2999</v>
      </c>
    </row>
    <row r="12" spans="1:13" x14ac:dyDescent="0.2">
      <c r="A12" s="5">
        <v>1011</v>
      </c>
      <c r="B12" s="4">
        <v>45304</v>
      </c>
      <c r="C12" s="5" t="s">
        <v>47</v>
      </c>
      <c r="D12" s="5" t="s">
        <v>31</v>
      </c>
      <c r="E12" s="5" t="s">
        <v>28</v>
      </c>
      <c r="F12" s="5" t="s">
        <v>48</v>
      </c>
      <c r="G12" s="5" t="s">
        <v>16</v>
      </c>
      <c r="H12" s="5">
        <v>899</v>
      </c>
      <c r="I12" s="5">
        <v>2</v>
      </c>
      <c r="J12" s="5" t="s">
        <v>20</v>
      </c>
      <c r="K12" s="5">
        <v>0</v>
      </c>
      <c r="L12" s="5">
        <v>380</v>
      </c>
      <c r="M12" s="5">
        <f>Sales_Data!$H12*Sales_Data!$I12</f>
        <v>1798</v>
      </c>
    </row>
    <row r="13" spans="1:13" x14ac:dyDescent="0.2">
      <c r="A13" s="7">
        <v>1012</v>
      </c>
      <c r="B13" s="6">
        <v>45305</v>
      </c>
      <c r="C13" s="7" t="s">
        <v>49</v>
      </c>
      <c r="D13" s="7" t="s">
        <v>22</v>
      </c>
      <c r="E13" s="7" t="s">
        <v>13</v>
      </c>
      <c r="F13" s="7" t="s">
        <v>50</v>
      </c>
      <c r="G13" s="7" t="s">
        <v>16</v>
      </c>
      <c r="H13" s="7">
        <v>299</v>
      </c>
      <c r="I13" s="7">
        <v>4</v>
      </c>
      <c r="J13" s="7" t="s">
        <v>15</v>
      </c>
      <c r="K13" s="7">
        <v>0</v>
      </c>
      <c r="L13" s="7">
        <v>200</v>
      </c>
      <c r="M13" s="7">
        <f>Sales_Data!$H13*Sales_Data!$I13</f>
        <v>1196</v>
      </c>
    </row>
    <row r="14" spans="1:13" x14ac:dyDescent="0.2">
      <c r="A14" s="5">
        <v>1013</v>
      </c>
      <c r="B14" s="4">
        <v>45305</v>
      </c>
      <c r="C14" s="5" t="s">
        <v>51</v>
      </c>
      <c r="D14" s="5" t="s">
        <v>38</v>
      </c>
      <c r="E14" s="5" t="s">
        <v>23</v>
      </c>
      <c r="F14" s="5" t="s">
        <v>52</v>
      </c>
      <c r="G14" s="5" t="s">
        <v>16</v>
      </c>
      <c r="H14" s="5">
        <v>799</v>
      </c>
      <c r="I14" s="5">
        <v>1</v>
      </c>
      <c r="J14" s="5" t="s">
        <v>25</v>
      </c>
      <c r="K14" s="5">
        <v>5</v>
      </c>
      <c r="L14" s="5">
        <v>150</v>
      </c>
      <c r="M14" s="5">
        <f>Sales_Data!$H14*Sales_Data!$I14</f>
        <v>799</v>
      </c>
    </row>
    <row r="15" spans="1:13" x14ac:dyDescent="0.2">
      <c r="A15" s="7">
        <v>1014</v>
      </c>
      <c r="B15" s="6">
        <v>45306</v>
      </c>
      <c r="C15" s="7" t="s">
        <v>53</v>
      </c>
      <c r="D15" s="7" t="s">
        <v>35</v>
      </c>
      <c r="E15" s="7" t="s">
        <v>13</v>
      </c>
      <c r="F15" s="7" t="s">
        <v>54</v>
      </c>
      <c r="G15" s="7" t="s">
        <v>16</v>
      </c>
      <c r="H15" s="7">
        <v>2499</v>
      </c>
      <c r="I15" s="7">
        <v>1</v>
      </c>
      <c r="J15" s="7" t="s">
        <v>20</v>
      </c>
      <c r="K15" s="7">
        <v>10</v>
      </c>
      <c r="L15" s="7">
        <v>550</v>
      </c>
      <c r="M15" s="7">
        <f>Sales_Data!$H15*Sales_Data!$I15</f>
        <v>2499</v>
      </c>
    </row>
    <row r="16" spans="1:13" x14ac:dyDescent="0.2">
      <c r="A16" s="5">
        <v>1015</v>
      </c>
      <c r="B16" s="4">
        <v>45307</v>
      </c>
      <c r="C16" s="5" t="s">
        <v>55</v>
      </c>
      <c r="D16" s="5" t="s">
        <v>18</v>
      </c>
      <c r="E16" s="5" t="s">
        <v>28</v>
      </c>
      <c r="F16" s="5" t="s">
        <v>56</v>
      </c>
      <c r="G16" s="5" t="s">
        <v>16</v>
      </c>
      <c r="H16" s="5">
        <v>599</v>
      </c>
      <c r="I16" s="5">
        <v>2</v>
      </c>
      <c r="J16" s="5" t="s">
        <v>15</v>
      </c>
      <c r="K16" s="5">
        <v>5</v>
      </c>
      <c r="L16" s="5">
        <v>240</v>
      </c>
      <c r="M16" s="5">
        <f>Sales_Data!$H16*Sales_Data!$I16</f>
        <v>1198</v>
      </c>
    </row>
    <row r="17" spans="1:13" x14ac:dyDescent="0.2">
      <c r="A17" s="7">
        <v>1016</v>
      </c>
      <c r="B17" s="6">
        <v>45308</v>
      </c>
      <c r="C17" s="7" t="s">
        <v>57</v>
      </c>
      <c r="D17" s="7" t="s">
        <v>12</v>
      </c>
      <c r="E17" s="7" t="s">
        <v>23</v>
      </c>
      <c r="F17" s="7" t="s">
        <v>58</v>
      </c>
      <c r="G17" s="7" t="s">
        <v>16</v>
      </c>
      <c r="H17" s="7">
        <v>1499</v>
      </c>
      <c r="I17" s="7">
        <v>1</v>
      </c>
      <c r="J17" s="7" t="s">
        <v>20</v>
      </c>
      <c r="K17" s="7">
        <v>0</v>
      </c>
      <c r="L17" s="7">
        <v>350</v>
      </c>
      <c r="M17" s="7">
        <f>Sales_Data!$H17*Sales_Data!$I17</f>
        <v>1499</v>
      </c>
    </row>
    <row r="18" spans="1:13" x14ac:dyDescent="0.2">
      <c r="A18" s="5">
        <v>1017</v>
      </c>
      <c r="B18" s="4">
        <v>45308</v>
      </c>
      <c r="C18" s="5" t="s">
        <v>59</v>
      </c>
      <c r="D18" s="5" t="s">
        <v>31</v>
      </c>
      <c r="E18" s="5" t="s">
        <v>13</v>
      </c>
      <c r="F18" s="5" t="s">
        <v>60</v>
      </c>
      <c r="G18" s="5" t="s">
        <v>16</v>
      </c>
      <c r="H18" s="5">
        <v>299</v>
      </c>
      <c r="I18" s="5">
        <v>3</v>
      </c>
      <c r="J18" s="5" t="s">
        <v>25</v>
      </c>
      <c r="K18" s="5">
        <v>0</v>
      </c>
      <c r="L18" s="5">
        <v>140</v>
      </c>
      <c r="M18" s="5">
        <f>Sales_Data!$H18*Sales_Data!$I18</f>
        <v>897</v>
      </c>
    </row>
    <row r="19" spans="1:13" x14ac:dyDescent="0.2">
      <c r="A19" s="7">
        <v>1018</v>
      </c>
      <c r="B19" s="6">
        <v>45309</v>
      </c>
      <c r="C19" s="7" t="s">
        <v>61</v>
      </c>
      <c r="D19" s="7" t="s">
        <v>22</v>
      </c>
      <c r="E19" s="7" t="s">
        <v>13</v>
      </c>
      <c r="F19" s="7" t="s">
        <v>62</v>
      </c>
      <c r="G19" s="7" t="s">
        <v>16</v>
      </c>
      <c r="H19" s="7">
        <v>1899</v>
      </c>
      <c r="I19" s="7">
        <v>1</v>
      </c>
      <c r="J19" s="7" t="s">
        <v>15</v>
      </c>
      <c r="K19" s="7">
        <v>5</v>
      </c>
      <c r="L19" s="7">
        <v>400</v>
      </c>
      <c r="M19" s="7">
        <f>Sales_Data!$H19*Sales_Data!$I19</f>
        <v>1899</v>
      </c>
    </row>
    <row r="20" spans="1:13" x14ac:dyDescent="0.2">
      <c r="A20" s="5">
        <v>1019</v>
      </c>
      <c r="B20" s="4">
        <v>45310</v>
      </c>
      <c r="C20" s="5" t="s">
        <v>63</v>
      </c>
      <c r="D20" s="5" t="s">
        <v>27</v>
      </c>
      <c r="E20" s="5" t="s">
        <v>23</v>
      </c>
      <c r="F20" s="5" t="s">
        <v>64</v>
      </c>
      <c r="G20" s="5" t="s">
        <v>16</v>
      </c>
      <c r="H20" s="5">
        <v>1299</v>
      </c>
      <c r="I20" s="5">
        <v>1</v>
      </c>
      <c r="J20" s="5" t="s">
        <v>20</v>
      </c>
      <c r="K20" s="5">
        <v>0</v>
      </c>
      <c r="L20" s="5">
        <v>250</v>
      </c>
      <c r="M20" s="5">
        <f>Sales_Data!$H20*Sales_Data!$I20</f>
        <v>1299</v>
      </c>
    </row>
    <row r="21" spans="1:13" x14ac:dyDescent="0.2">
      <c r="A21" s="7">
        <v>1020</v>
      </c>
      <c r="B21" s="6">
        <v>45311</v>
      </c>
      <c r="C21" s="7" t="s">
        <v>65</v>
      </c>
      <c r="D21" s="7" t="s">
        <v>38</v>
      </c>
      <c r="E21" s="7" t="s">
        <v>28</v>
      </c>
      <c r="F21" s="7" t="s">
        <v>66</v>
      </c>
      <c r="G21" s="7" t="s">
        <v>16</v>
      </c>
      <c r="H21" s="7">
        <v>499</v>
      </c>
      <c r="I21" s="7">
        <v>4</v>
      </c>
      <c r="J21" s="7" t="s">
        <v>15</v>
      </c>
      <c r="K21" s="7">
        <v>0</v>
      </c>
      <c r="L21" s="7">
        <v>300</v>
      </c>
      <c r="M21" s="7">
        <f>Sales_Data!$H21*Sales_Data!$I21</f>
        <v>1996</v>
      </c>
    </row>
    <row r="22" spans="1:13" x14ac:dyDescent="0.2">
      <c r="A22" s="5">
        <v>1021</v>
      </c>
      <c r="B22" s="4">
        <v>45312</v>
      </c>
      <c r="C22" s="5" t="s">
        <v>67</v>
      </c>
      <c r="D22" s="5" t="s">
        <v>35</v>
      </c>
      <c r="E22" s="5" t="s">
        <v>13</v>
      </c>
      <c r="F22" s="5" t="s">
        <v>68</v>
      </c>
      <c r="G22" s="5" t="s">
        <v>16</v>
      </c>
      <c r="H22" s="5">
        <v>699</v>
      </c>
      <c r="I22" s="5">
        <v>2</v>
      </c>
      <c r="J22" s="5" t="s">
        <v>25</v>
      </c>
      <c r="K22" s="5">
        <v>5</v>
      </c>
      <c r="L22" s="5">
        <v>260</v>
      </c>
      <c r="M22" s="5">
        <f>Sales_Data!$H22*Sales_Data!$I22</f>
        <v>1398</v>
      </c>
    </row>
    <row r="23" spans="1:13" x14ac:dyDescent="0.2">
      <c r="A23" s="7">
        <v>1022</v>
      </c>
      <c r="B23" s="6">
        <v>45313</v>
      </c>
      <c r="C23" s="7" t="s">
        <v>69</v>
      </c>
      <c r="D23" s="7" t="s">
        <v>22</v>
      </c>
      <c r="E23" s="7" t="s">
        <v>23</v>
      </c>
      <c r="F23" s="7" t="s">
        <v>70</v>
      </c>
      <c r="G23" s="7" t="s">
        <v>16</v>
      </c>
      <c r="H23" s="7">
        <v>499</v>
      </c>
      <c r="I23" s="7">
        <v>3</v>
      </c>
      <c r="J23" s="7" t="s">
        <v>15</v>
      </c>
      <c r="K23" s="7">
        <v>0</v>
      </c>
      <c r="L23" s="7">
        <v>280</v>
      </c>
      <c r="M23" s="7">
        <f>Sales_Data!$H23*Sales_Data!$I23</f>
        <v>1497</v>
      </c>
    </row>
    <row r="24" spans="1:13" x14ac:dyDescent="0.2">
      <c r="A24" s="5">
        <v>1023</v>
      </c>
      <c r="B24" s="4">
        <v>45314</v>
      </c>
      <c r="C24" s="5" t="s">
        <v>71</v>
      </c>
      <c r="D24" s="5" t="s">
        <v>12</v>
      </c>
      <c r="E24" s="5" t="s">
        <v>28</v>
      </c>
      <c r="F24" s="5" t="s">
        <v>72</v>
      </c>
      <c r="G24" s="5" t="s">
        <v>16</v>
      </c>
      <c r="H24" s="5">
        <v>999</v>
      </c>
      <c r="I24" s="5">
        <v>2</v>
      </c>
      <c r="J24" s="5" t="s">
        <v>20</v>
      </c>
      <c r="K24" s="5">
        <v>5</v>
      </c>
      <c r="L24" s="5">
        <v>350</v>
      </c>
      <c r="M24" s="5">
        <f>Sales_Data!$H24*Sales_Data!$I24</f>
        <v>1998</v>
      </c>
    </row>
    <row r="25" spans="1:13" x14ac:dyDescent="0.2">
      <c r="A25" s="7">
        <v>1024</v>
      </c>
      <c r="B25" s="6">
        <v>45315</v>
      </c>
      <c r="C25" s="7" t="s">
        <v>73</v>
      </c>
      <c r="D25" s="7" t="s">
        <v>18</v>
      </c>
      <c r="E25" s="7" t="s">
        <v>23</v>
      </c>
      <c r="F25" s="7" t="s">
        <v>74</v>
      </c>
      <c r="G25" s="7" t="s">
        <v>16</v>
      </c>
      <c r="H25" s="7">
        <v>2899</v>
      </c>
      <c r="I25" s="7">
        <v>1</v>
      </c>
      <c r="J25" s="7" t="s">
        <v>15</v>
      </c>
      <c r="K25" s="7">
        <v>10</v>
      </c>
      <c r="L25" s="7">
        <v>600</v>
      </c>
      <c r="M25" s="7">
        <f>Sales_Data!$H25*Sales_Data!$I25</f>
        <v>2899</v>
      </c>
    </row>
    <row r="26" spans="1:13" x14ac:dyDescent="0.2">
      <c r="A26" s="5">
        <v>1025</v>
      </c>
      <c r="B26" s="4">
        <v>45316</v>
      </c>
      <c r="C26" s="5" t="s">
        <v>75</v>
      </c>
      <c r="D26" s="5" t="s">
        <v>27</v>
      </c>
      <c r="E26" s="5" t="s">
        <v>13</v>
      </c>
      <c r="F26" s="5" t="s">
        <v>76</v>
      </c>
      <c r="G26" s="5" t="s">
        <v>16</v>
      </c>
      <c r="H26" s="5">
        <v>1599</v>
      </c>
      <c r="I26" s="5">
        <v>1</v>
      </c>
      <c r="J26" s="5" t="s">
        <v>20</v>
      </c>
      <c r="K26" s="5">
        <v>0</v>
      </c>
      <c r="L26" s="5">
        <v>300</v>
      </c>
      <c r="M26" s="5">
        <f>Sales_Data!$H26*Sales_Data!$I26</f>
        <v>1599</v>
      </c>
    </row>
    <row r="27" spans="1:13" x14ac:dyDescent="0.2">
      <c r="A27" s="7">
        <v>1026</v>
      </c>
      <c r="B27" s="6">
        <v>45317</v>
      </c>
      <c r="C27" s="7" t="s">
        <v>77</v>
      </c>
      <c r="D27" s="7" t="s">
        <v>31</v>
      </c>
      <c r="E27" s="7" t="s">
        <v>13</v>
      </c>
      <c r="F27" s="7" t="s">
        <v>78</v>
      </c>
      <c r="G27" s="7" t="s">
        <v>16</v>
      </c>
      <c r="H27" s="7">
        <v>499</v>
      </c>
      <c r="I27" s="7">
        <v>3</v>
      </c>
      <c r="J27" s="7" t="s">
        <v>25</v>
      </c>
      <c r="K27" s="7">
        <v>0</v>
      </c>
      <c r="L27" s="7">
        <v>210</v>
      </c>
      <c r="M27" s="7">
        <f>Sales_Data!$H27*Sales_Data!$I27</f>
        <v>1497</v>
      </c>
    </row>
    <row r="28" spans="1:13" x14ac:dyDescent="0.2">
      <c r="A28" s="5">
        <v>1027</v>
      </c>
      <c r="B28" s="4">
        <v>45318</v>
      </c>
      <c r="C28" s="5" t="s">
        <v>79</v>
      </c>
      <c r="D28" s="5" t="s">
        <v>38</v>
      </c>
      <c r="E28" s="5" t="s">
        <v>23</v>
      </c>
      <c r="F28" s="5" t="s">
        <v>80</v>
      </c>
      <c r="G28" s="5" t="s">
        <v>16</v>
      </c>
      <c r="H28" s="5">
        <v>299</v>
      </c>
      <c r="I28" s="5">
        <v>2</v>
      </c>
      <c r="J28" s="5" t="s">
        <v>25</v>
      </c>
      <c r="K28" s="5">
        <v>0</v>
      </c>
      <c r="L28" s="5">
        <v>100</v>
      </c>
      <c r="M28" s="5">
        <f>Sales_Data!$H28*Sales_Data!$I28</f>
        <v>598</v>
      </c>
    </row>
    <row r="29" spans="1:13" x14ac:dyDescent="0.2">
      <c r="A29" s="7">
        <v>1028</v>
      </c>
      <c r="B29" s="6">
        <v>45319</v>
      </c>
      <c r="C29" s="7" t="s">
        <v>81</v>
      </c>
      <c r="D29" s="7" t="s">
        <v>12</v>
      </c>
      <c r="E29" s="7" t="s">
        <v>28</v>
      </c>
      <c r="F29" s="7" t="s">
        <v>82</v>
      </c>
      <c r="G29" s="7" t="s">
        <v>16</v>
      </c>
      <c r="H29" s="7">
        <v>399</v>
      </c>
      <c r="I29" s="7">
        <v>4</v>
      </c>
      <c r="J29" s="7" t="s">
        <v>20</v>
      </c>
      <c r="K29" s="7">
        <v>5</v>
      </c>
      <c r="L29" s="7">
        <v>260</v>
      </c>
      <c r="M29" s="7">
        <f>Sales_Data!$H29*Sales_Data!$I29</f>
        <v>1596</v>
      </c>
    </row>
    <row r="30" spans="1:13" x14ac:dyDescent="0.2">
      <c r="A30" s="5">
        <v>1029</v>
      </c>
      <c r="B30" s="4">
        <v>45319</v>
      </c>
      <c r="C30" s="5" t="s">
        <v>83</v>
      </c>
      <c r="D30" s="5" t="s">
        <v>22</v>
      </c>
      <c r="E30" s="5" t="s">
        <v>13</v>
      </c>
      <c r="F30" s="5" t="s">
        <v>84</v>
      </c>
      <c r="G30" s="5" t="s">
        <v>16</v>
      </c>
      <c r="H30" s="5">
        <v>7999</v>
      </c>
      <c r="I30" s="5">
        <v>1</v>
      </c>
      <c r="J30" s="5" t="s">
        <v>25</v>
      </c>
      <c r="K30" s="5">
        <v>5</v>
      </c>
      <c r="L30" s="5">
        <v>1500</v>
      </c>
      <c r="M30" s="5">
        <f>Sales_Data!$H30*Sales_Data!$I30</f>
        <v>7999</v>
      </c>
    </row>
    <row r="31" spans="1:13" x14ac:dyDescent="0.2">
      <c r="A31" s="7">
        <v>1030</v>
      </c>
      <c r="B31" s="6">
        <v>45320</v>
      </c>
      <c r="C31" s="7" t="s">
        <v>85</v>
      </c>
      <c r="D31" s="7" t="s">
        <v>18</v>
      </c>
      <c r="E31" s="7" t="s">
        <v>13</v>
      </c>
      <c r="F31" s="7" t="s">
        <v>86</v>
      </c>
      <c r="G31" s="7" t="s">
        <v>16</v>
      </c>
      <c r="H31" s="7">
        <v>1999</v>
      </c>
      <c r="I31" s="7">
        <v>1</v>
      </c>
      <c r="J31" s="7" t="s">
        <v>15</v>
      </c>
      <c r="K31" s="7">
        <v>8</v>
      </c>
      <c r="L31" s="7">
        <v>400</v>
      </c>
      <c r="M31" s="7">
        <f>Sales_Data!$H31*Sales_Data!$I31</f>
        <v>1999</v>
      </c>
    </row>
    <row r="32" spans="1:13" x14ac:dyDescent="0.2">
      <c r="A32" s="5">
        <v>1031</v>
      </c>
      <c r="B32" s="4">
        <v>45321</v>
      </c>
      <c r="C32" s="5" t="s">
        <v>87</v>
      </c>
      <c r="D32" s="5" t="s">
        <v>27</v>
      </c>
      <c r="E32" s="5" t="s">
        <v>23</v>
      </c>
      <c r="F32" s="5" t="s">
        <v>88</v>
      </c>
      <c r="G32" s="5" t="s">
        <v>16</v>
      </c>
      <c r="H32" s="5">
        <v>999</v>
      </c>
      <c r="I32" s="5">
        <v>1</v>
      </c>
      <c r="J32" s="5" t="s">
        <v>20</v>
      </c>
      <c r="K32" s="5">
        <v>0</v>
      </c>
      <c r="L32" s="5">
        <v>180</v>
      </c>
      <c r="M32" s="5">
        <f>Sales_Data!$H32*Sales_Data!$I32</f>
        <v>999</v>
      </c>
    </row>
    <row r="33" spans="1:13" x14ac:dyDescent="0.2">
      <c r="A33" s="7">
        <v>1032</v>
      </c>
      <c r="B33" s="6">
        <v>45322</v>
      </c>
      <c r="C33" s="7" t="s">
        <v>89</v>
      </c>
      <c r="D33" s="7" t="s">
        <v>31</v>
      </c>
      <c r="E33" s="7" t="s">
        <v>28</v>
      </c>
      <c r="F33" s="7" t="s">
        <v>90</v>
      </c>
      <c r="G33" s="7" t="s">
        <v>16</v>
      </c>
      <c r="H33" s="7">
        <v>299</v>
      </c>
      <c r="I33" s="7">
        <v>3</v>
      </c>
      <c r="J33" s="7" t="s">
        <v>15</v>
      </c>
      <c r="K33" s="7">
        <v>0</v>
      </c>
      <c r="L33" s="7">
        <v>120</v>
      </c>
      <c r="M33" s="7">
        <f>Sales_Data!$H33*Sales_Data!$I33</f>
        <v>897</v>
      </c>
    </row>
    <row r="34" spans="1:13" x14ac:dyDescent="0.2">
      <c r="A34" s="5">
        <v>1033</v>
      </c>
      <c r="B34" s="4">
        <v>45323</v>
      </c>
      <c r="C34" s="5" t="s">
        <v>91</v>
      </c>
      <c r="D34" s="5" t="s">
        <v>35</v>
      </c>
      <c r="E34" s="5" t="s">
        <v>13</v>
      </c>
      <c r="F34" s="5" t="s">
        <v>92</v>
      </c>
      <c r="G34" s="5" t="s">
        <v>16</v>
      </c>
      <c r="H34" s="5">
        <v>149</v>
      </c>
      <c r="I34" s="5">
        <v>6</v>
      </c>
      <c r="J34" s="5" t="s">
        <v>20</v>
      </c>
      <c r="K34" s="5">
        <v>0</v>
      </c>
      <c r="L34" s="5">
        <v>160</v>
      </c>
      <c r="M34" s="5">
        <f>Sales_Data!$H34*Sales_Data!$I34</f>
        <v>894</v>
      </c>
    </row>
    <row r="35" spans="1:13" x14ac:dyDescent="0.2">
      <c r="A35" s="7">
        <v>1034</v>
      </c>
      <c r="B35" s="6">
        <v>45324</v>
      </c>
      <c r="C35" s="7" t="s">
        <v>93</v>
      </c>
      <c r="D35" s="7" t="s">
        <v>22</v>
      </c>
      <c r="E35" s="7" t="s">
        <v>23</v>
      </c>
      <c r="F35" s="7" t="s">
        <v>94</v>
      </c>
      <c r="G35" s="7" t="s">
        <v>16</v>
      </c>
      <c r="H35" s="7">
        <v>899</v>
      </c>
      <c r="I35" s="7">
        <v>1</v>
      </c>
      <c r="J35" s="7" t="s">
        <v>25</v>
      </c>
      <c r="K35" s="7">
        <v>0</v>
      </c>
      <c r="L35" s="7">
        <v>180</v>
      </c>
      <c r="M35" s="7">
        <f>Sales_Data!$H35*Sales_Data!$I35</f>
        <v>899</v>
      </c>
    </row>
    <row r="36" spans="1:13" x14ac:dyDescent="0.2">
      <c r="A36" s="5">
        <v>1035</v>
      </c>
      <c r="B36" s="4">
        <v>45325</v>
      </c>
      <c r="C36" s="5" t="s">
        <v>95</v>
      </c>
      <c r="D36" s="5" t="s">
        <v>27</v>
      </c>
      <c r="E36" s="5" t="s">
        <v>28</v>
      </c>
      <c r="F36" s="5" t="s">
        <v>96</v>
      </c>
      <c r="G36" s="5" t="s">
        <v>16</v>
      </c>
      <c r="H36" s="5">
        <v>1299</v>
      </c>
      <c r="I36" s="5">
        <v>1</v>
      </c>
      <c r="J36" s="5" t="s">
        <v>15</v>
      </c>
      <c r="K36" s="5">
        <v>5</v>
      </c>
      <c r="L36" s="5">
        <v>250</v>
      </c>
      <c r="M36" s="5">
        <f>Sales_Data!$H36*Sales_Data!$I36</f>
        <v>1299</v>
      </c>
    </row>
    <row r="37" spans="1:13" x14ac:dyDescent="0.2">
      <c r="A37" s="7">
        <v>1036</v>
      </c>
      <c r="B37" s="6">
        <v>45326</v>
      </c>
      <c r="C37" s="7" t="s">
        <v>97</v>
      </c>
      <c r="D37" s="7" t="s">
        <v>18</v>
      </c>
      <c r="E37" s="7" t="s">
        <v>13</v>
      </c>
      <c r="F37" s="7" t="s">
        <v>98</v>
      </c>
      <c r="G37" s="7" t="s">
        <v>16</v>
      </c>
      <c r="H37" s="7">
        <v>5999</v>
      </c>
      <c r="I37" s="7">
        <v>1</v>
      </c>
      <c r="J37" s="7" t="s">
        <v>25</v>
      </c>
      <c r="K37" s="7">
        <v>10</v>
      </c>
      <c r="L37" s="7">
        <v>1200</v>
      </c>
      <c r="M37" s="7">
        <f>Sales_Data!$H37*Sales_Data!$I37</f>
        <v>5999</v>
      </c>
    </row>
    <row r="38" spans="1:13" x14ac:dyDescent="0.2">
      <c r="A38" s="5">
        <v>1037</v>
      </c>
      <c r="B38" s="4">
        <v>45327</v>
      </c>
      <c r="C38" s="5" t="s">
        <v>99</v>
      </c>
      <c r="D38" s="5" t="s">
        <v>31</v>
      </c>
      <c r="E38" s="5" t="s">
        <v>23</v>
      </c>
      <c r="F38" s="5" t="s">
        <v>100</v>
      </c>
      <c r="G38" s="5" t="s">
        <v>16</v>
      </c>
      <c r="H38" s="5">
        <v>699</v>
      </c>
      <c r="I38" s="5">
        <v>2</v>
      </c>
      <c r="J38" s="5" t="s">
        <v>20</v>
      </c>
      <c r="K38" s="5">
        <v>0</v>
      </c>
      <c r="L38" s="5">
        <v>220</v>
      </c>
      <c r="M38" s="5">
        <f>Sales_Data!$H38*Sales_Data!$I38</f>
        <v>1398</v>
      </c>
    </row>
    <row r="39" spans="1:13" x14ac:dyDescent="0.2">
      <c r="A39" s="7">
        <v>1038</v>
      </c>
      <c r="B39" s="6">
        <v>45327</v>
      </c>
      <c r="C39" s="7" t="s">
        <v>101</v>
      </c>
      <c r="D39" s="7" t="s">
        <v>38</v>
      </c>
      <c r="E39" s="7" t="s">
        <v>28</v>
      </c>
      <c r="F39" s="7" t="s">
        <v>102</v>
      </c>
      <c r="G39" s="7" t="s">
        <v>16</v>
      </c>
      <c r="H39" s="7">
        <v>249</v>
      </c>
      <c r="I39" s="7">
        <v>3</v>
      </c>
      <c r="J39" s="7" t="s">
        <v>15</v>
      </c>
      <c r="K39" s="7">
        <v>0</v>
      </c>
      <c r="L39" s="7">
        <v>110</v>
      </c>
      <c r="M39" s="7">
        <f>Sales_Data!$H39*Sales_Data!$I39</f>
        <v>747</v>
      </c>
    </row>
    <row r="40" spans="1:13" x14ac:dyDescent="0.2">
      <c r="A40" s="5">
        <v>1039</v>
      </c>
      <c r="B40" s="4">
        <v>45328</v>
      </c>
      <c r="C40" s="5" t="s">
        <v>103</v>
      </c>
      <c r="D40" s="5" t="s">
        <v>12</v>
      </c>
      <c r="E40" s="5" t="s">
        <v>13</v>
      </c>
      <c r="F40" s="5" t="s">
        <v>104</v>
      </c>
      <c r="G40" s="5" t="s">
        <v>16</v>
      </c>
      <c r="H40" s="5">
        <v>14999</v>
      </c>
      <c r="I40" s="5">
        <v>1</v>
      </c>
      <c r="J40" s="5" t="s">
        <v>25</v>
      </c>
      <c r="K40" s="5">
        <v>5</v>
      </c>
      <c r="L40" s="5">
        <v>2800</v>
      </c>
      <c r="M40" s="5">
        <f>Sales_Data!$H40*Sales_Data!$I40</f>
        <v>14999</v>
      </c>
    </row>
    <row r="41" spans="1:13" x14ac:dyDescent="0.2">
      <c r="A41" s="7">
        <v>1040</v>
      </c>
      <c r="B41" s="6">
        <v>45329</v>
      </c>
      <c r="C41" s="7" t="s">
        <v>105</v>
      </c>
      <c r="D41" s="7" t="s">
        <v>22</v>
      </c>
      <c r="E41" s="7" t="s">
        <v>23</v>
      </c>
      <c r="F41" s="7" t="s">
        <v>106</v>
      </c>
      <c r="G41" s="7" t="s">
        <v>16</v>
      </c>
      <c r="H41" s="7">
        <v>1999</v>
      </c>
      <c r="I41" s="7">
        <v>1</v>
      </c>
      <c r="J41" s="7" t="s">
        <v>20</v>
      </c>
      <c r="K41" s="7">
        <v>0</v>
      </c>
      <c r="L41" s="7">
        <v>400</v>
      </c>
      <c r="M41" s="7">
        <f>Sales_Data!$H41*Sales_Data!$I41</f>
        <v>1999</v>
      </c>
    </row>
    <row r="42" spans="1:13" x14ac:dyDescent="0.2">
      <c r="A42" s="5">
        <v>1041</v>
      </c>
      <c r="B42" s="4">
        <v>45330</v>
      </c>
      <c r="C42" s="5" t="s">
        <v>107</v>
      </c>
      <c r="D42" s="5" t="s">
        <v>27</v>
      </c>
      <c r="E42" s="5" t="s">
        <v>28</v>
      </c>
      <c r="F42" s="5" t="s">
        <v>108</v>
      </c>
      <c r="G42" s="5" t="s">
        <v>16</v>
      </c>
      <c r="H42" s="5">
        <v>699</v>
      </c>
      <c r="I42" s="5">
        <v>2</v>
      </c>
      <c r="J42" s="5" t="s">
        <v>15</v>
      </c>
      <c r="K42" s="5">
        <v>0</v>
      </c>
      <c r="L42" s="5">
        <v>250</v>
      </c>
      <c r="M42" s="5">
        <f>Sales_Data!$H42*Sales_Data!$I42</f>
        <v>1398</v>
      </c>
    </row>
    <row r="43" spans="1:13" x14ac:dyDescent="0.2">
      <c r="A43" s="7">
        <v>1042</v>
      </c>
      <c r="B43" s="6">
        <v>45331</v>
      </c>
      <c r="C43" s="7" t="s">
        <v>109</v>
      </c>
      <c r="D43" s="7" t="s">
        <v>31</v>
      </c>
      <c r="E43" s="7" t="s">
        <v>13</v>
      </c>
      <c r="F43" s="7" t="s">
        <v>110</v>
      </c>
      <c r="G43" s="7" t="s">
        <v>16</v>
      </c>
      <c r="H43" s="7">
        <v>1999</v>
      </c>
      <c r="I43" s="7">
        <v>1</v>
      </c>
      <c r="J43" s="7" t="s">
        <v>20</v>
      </c>
      <c r="K43" s="7">
        <v>0</v>
      </c>
      <c r="L43" s="7">
        <v>350</v>
      </c>
      <c r="M43" s="7">
        <f>Sales_Data!$H43*Sales_Data!$I43</f>
        <v>1999</v>
      </c>
    </row>
    <row r="44" spans="1:13" x14ac:dyDescent="0.2">
      <c r="A44" s="5">
        <v>1043</v>
      </c>
      <c r="B44" s="4">
        <v>45332</v>
      </c>
      <c r="C44" s="5" t="s">
        <v>111</v>
      </c>
      <c r="D44" s="5" t="s">
        <v>35</v>
      </c>
      <c r="E44" s="5" t="s">
        <v>23</v>
      </c>
      <c r="F44" s="5" t="s">
        <v>112</v>
      </c>
      <c r="G44" s="5" t="s">
        <v>16</v>
      </c>
      <c r="H44" s="5">
        <v>299</v>
      </c>
      <c r="I44" s="5">
        <v>2</v>
      </c>
      <c r="J44" s="5" t="s">
        <v>15</v>
      </c>
      <c r="K44" s="5">
        <v>0</v>
      </c>
      <c r="L44" s="5">
        <v>90</v>
      </c>
      <c r="M44" s="5">
        <f>Sales_Data!$H44*Sales_Data!$I44</f>
        <v>598</v>
      </c>
    </row>
    <row r="45" spans="1:13" x14ac:dyDescent="0.2">
      <c r="A45" s="7">
        <v>1044</v>
      </c>
      <c r="B45" s="6">
        <v>45333</v>
      </c>
      <c r="C45" s="7" t="s">
        <v>113</v>
      </c>
      <c r="D45" s="7" t="s">
        <v>18</v>
      </c>
      <c r="E45" s="7" t="s">
        <v>28</v>
      </c>
      <c r="F45" s="7" t="s">
        <v>114</v>
      </c>
      <c r="G45" s="7" t="s">
        <v>16</v>
      </c>
      <c r="H45" s="7">
        <v>499</v>
      </c>
      <c r="I45" s="7">
        <v>3</v>
      </c>
      <c r="J45" s="7" t="s">
        <v>25</v>
      </c>
      <c r="K45" s="7">
        <v>0</v>
      </c>
      <c r="L45" s="7">
        <v>200</v>
      </c>
      <c r="M45" s="7">
        <f>Sales_Data!$H45*Sales_Data!$I45</f>
        <v>1497</v>
      </c>
    </row>
    <row r="46" spans="1:13" x14ac:dyDescent="0.2">
      <c r="A46" s="5">
        <v>1045</v>
      </c>
      <c r="B46" s="4">
        <v>45334</v>
      </c>
      <c r="C46" s="5" t="s">
        <v>115</v>
      </c>
      <c r="D46" s="5" t="s">
        <v>12</v>
      </c>
      <c r="E46" s="5" t="s">
        <v>13</v>
      </c>
      <c r="F46" s="5" t="s">
        <v>116</v>
      </c>
      <c r="G46" s="5" t="s">
        <v>16</v>
      </c>
      <c r="H46" s="5">
        <v>1299</v>
      </c>
      <c r="I46" s="5">
        <v>1</v>
      </c>
      <c r="J46" s="5" t="s">
        <v>15</v>
      </c>
      <c r="K46" s="5">
        <v>5</v>
      </c>
      <c r="L46" s="5">
        <v>250</v>
      </c>
      <c r="M46" s="5">
        <f>Sales_Data!$H46*Sales_Data!$I46</f>
        <v>1299</v>
      </c>
    </row>
    <row r="47" spans="1:13" x14ac:dyDescent="0.2">
      <c r="A47" s="7">
        <v>1046</v>
      </c>
      <c r="B47" s="6">
        <v>45335</v>
      </c>
      <c r="C47" s="7" t="s">
        <v>117</v>
      </c>
      <c r="D47" s="7" t="s">
        <v>22</v>
      </c>
      <c r="E47" s="7" t="s">
        <v>23</v>
      </c>
      <c r="F47" s="7" t="s">
        <v>118</v>
      </c>
      <c r="G47" s="7" t="s">
        <v>16</v>
      </c>
      <c r="H47" s="7">
        <v>2499</v>
      </c>
      <c r="I47" s="7">
        <v>1</v>
      </c>
      <c r="J47" s="7" t="s">
        <v>20</v>
      </c>
      <c r="K47" s="7">
        <v>10</v>
      </c>
      <c r="L47" s="7">
        <v>550</v>
      </c>
      <c r="M47" s="7">
        <f>Sales_Data!$H47*Sales_Data!$I47</f>
        <v>2499</v>
      </c>
    </row>
    <row r="48" spans="1:13" x14ac:dyDescent="0.2">
      <c r="A48" s="5">
        <v>1047</v>
      </c>
      <c r="B48" s="4">
        <v>45336</v>
      </c>
      <c r="C48" s="5" t="s">
        <v>119</v>
      </c>
      <c r="D48" s="5" t="s">
        <v>27</v>
      </c>
      <c r="E48" s="5" t="s">
        <v>28</v>
      </c>
      <c r="F48" s="5" t="s">
        <v>120</v>
      </c>
      <c r="G48" s="5" t="s">
        <v>16</v>
      </c>
      <c r="H48" s="5">
        <v>399</v>
      </c>
      <c r="I48" s="5">
        <v>5</v>
      </c>
      <c r="J48" s="5" t="s">
        <v>25</v>
      </c>
      <c r="K48" s="5">
        <v>0</v>
      </c>
      <c r="L48" s="5">
        <v>350</v>
      </c>
      <c r="M48" s="5">
        <f>Sales_Data!$H48*Sales_Data!$I48</f>
        <v>1995</v>
      </c>
    </row>
    <row r="49" spans="1:13" x14ac:dyDescent="0.2">
      <c r="A49" s="7">
        <v>1048</v>
      </c>
      <c r="B49" s="6">
        <v>45337</v>
      </c>
      <c r="C49" s="7" t="s">
        <v>121</v>
      </c>
      <c r="D49" s="7" t="s">
        <v>31</v>
      </c>
      <c r="E49" s="7" t="s">
        <v>13</v>
      </c>
      <c r="F49" s="7" t="s">
        <v>122</v>
      </c>
      <c r="G49" s="7" t="s">
        <v>16</v>
      </c>
      <c r="H49" s="7">
        <v>24999</v>
      </c>
      <c r="I49" s="7">
        <v>1</v>
      </c>
      <c r="J49" s="7" t="s">
        <v>15</v>
      </c>
      <c r="K49" s="7">
        <v>10</v>
      </c>
      <c r="L49" s="7">
        <v>5000</v>
      </c>
      <c r="M49" s="7">
        <f>Sales_Data!$H49*Sales_Data!$I49</f>
        <v>24999</v>
      </c>
    </row>
    <row r="50" spans="1:13" x14ac:dyDescent="0.2">
      <c r="A50" s="5">
        <v>1049</v>
      </c>
      <c r="B50" s="4">
        <v>45338</v>
      </c>
      <c r="C50" s="5" t="s">
        <v>123</v>
      </c>
      <c r="D50" s="5" t="s">
        <v>35</v>
      </c>
      <c r="E50" s="5" t="s">
        <v>23</v>
      </c>
      <c r="F50" s="5" t="s">
        <v>124</v>
      </c>
      <c r="G50" s="5" t="s">
        <v>16</v>
      </c>
      <c r="H50" s="5">
        <v>499</v>
      </c>
      <c r="I50" s="5">
        <v>2</v>
      </c>
      <c r="J50" s="5" t="s">
        <v>20</v>
      </c>
      <c r="K50" s="5">
        <v>0</v>
      </c>
      <c r="L50" s="5">
        <v>150</v>
      </c>
      <c r="M50" s="5">
        <f>Sales_Data!$H50*Sales_Data!$I50</f>
        <v>998</v>
      </c>
    </row>
    <row r="51" spans="1:13" x14ac:dyDescent="0.2">
      <c r="A51" s="7">
        <v>1050</v>
      </c>
      <c r="B51" s="6">
        <v>45339</v>
      </c>
      <c r="C51" s="7" t="s">
        <v>125</v>
      </c>
      <c r="D51" s="7" t="s">
        <v>18</v>
      </c>
      <c r="E51" s="7" t="s">
        <v>28</v>
      </c>
      <c r="F51" s="7" t="s">
        <v>126</v>
      </c>
      <c r="G51" s="7" t="s">
        <v>16</v>
      </c>
      <c r="H51" s="7">
        <v>999</v>
      </c>
      <c r="I51" s="7">
        <v>1</v>
      </c>
      <c r="J51" s="7" t="s">
        <v>15</v>
      </c>
      <c r="K51" s="7">
        <v>5</v>
      </c>
      <c r="L51" s="7">
        <v>180</v>
      </c>
      <c r="M51" s="7">
        <f>Sales_Data!$H51*Sales_Data!$I51</f>
        <v>999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98C4-280B-F545-98E5-DDACC5DA4425}">
  <sheetPr>
    <pageSetUpPr fitToPage="1"/>
  </sheetPr>
  <dimension ref="A1"/>
  <sheetViews>
    <sheetView showGridLines="0" showRowColHeaders="0" zoomScale="95" zoomScaleNormal="100" workbookViewId="0">
      <selection activeCell="W14" sqref="W14"/>
    </sheetView>
  </sheetViews>
  <sheetFormatPr baseColWidth="10" defaultRowHeight="15" x14ac:dyDescent="0.2"/>
  <sheetData/>
  <pageMargins left="0.7" right="0.7" top="0.75" bottom="0.75" header="0.3" footer="0.3"/>
  <pageSetup paperSize="9" scale="30" orientation="landscape"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1F47-CF82-B24B-8BE1-CAB00293D339}">
  <sheetPr>
    <tabColor theme="4"/>
  </sheetPr>
  <dimension ref="A1:J20"/>
  <sheetViews>
    <sheetView topLeftCell="A12" zoomScale="143" workbookViewId="0">
      <selection activeCell="F4" sqref="F4"/>
    </sheetView>
  </sheetViews>
  <sheetFormatPr baseColWidth="10" defaultRowHeight="15" x14ac:dyDescent="0.2"/>
  <cols>
    <col min="1" max="1" width="12.1640625" bestFit="1" customWidth="1"/>
    <col min="2" max="2" width="11.5" bestFit="1" customWidth="1"/>
    <col min="3" max="3" width="14" bestFit="1" customWidth="1"/>
    <col min="4" max="4" width="21.1640625" bestFit="1" customWidth="1"/>
    <col min="5" max="180" width="20.5" bestFit="1" customWidth="1"/>
    <col min="181" max="181" width="19" bestFit="1" customWidth="1"/>
    <col min="182" max="182" width="15.1640625" bestFit="1" customWidth="1"/>
    <col min="183" max="183" width="17.83203125" bestFit="1" customWidth="1"/>
    <col min="184" max="184" width="24.83203125" bestFit="1" customWidth="1"/>
  </cols>
  <sheetData>
    <row r="1" spans="1:10" x14ac:dyDescent="0.2">
      <c r="A1" s="1"/>
      <c r="B1" s="1"/>
      <c r="C1" s="1"/>
      <c r="D1" s="1"/>
      <c r="E1" s="1"/>
      <c r="F1" s="1"/>
    </row>
    <row r="2" spans="1:10" x14ac:dyDescent="0.2">
      <c r="I2" s="1"/>
      <c r="J2" s="1"/>
    </row>
    <row r="3" spans="1:10" x14ac:dyDescent="0.2">
      <c r="F3" t="s">
        <v>137</v>
      </c>
      <c r="G3" t="s">
        <v>139</v>
      </c>
      <c r="H3" t="s">
        <v>138</v>
      </c>
      <c r="I3" t="s">
        <v>140</v>
      </c>
    </row>
    <row r="4" spans="1:10" x14ac:dyDescent="0.2">
      <c r="A4" t="s">
        <v>132</v>
      </c>
      <c r="B4" t="s">
        <v>130</v>
      </c>
      <c r="C4" t="s">
        <v>134</v>
      </c>
      <c r="D4" t="s">
        <v>135</v>
      </c>
      <c r="F4" t="str">
        <f>TEXT(A5,"#,##")</f>
        <v>1,26,755</v>
      </c>
      <c r="G4" t="str">
        <f t="shared" ref="G4:I4" si="0">TEXT(B5,"#,##")</f>
        <v>23,471</v>
      </c>
      <c r="H4" t="str">
        <f t="shared" si="0"/>
        <v>95</v>
      </c>
      <c r="I4" t="str">
        <f t="shared" si="0"/>
        <v>50</v>
      </c>
    </row>
    <row r="5" spans="1:10" x14ac:dyDescent="0.2">
      <c r="A5">
        <v>126755</v>
      </c>
      <c r="B5">
        <v>23471</v>
      </c>
      <c r="C5">
        <v>95</v>
      </c>
      <c r="D5">
        <v>50</v>
      </c>
    </row>
    <row r="12" spans="1:10" x14ac:dyDescent="0.2">
      <c r="A12" s="2" t="s">
        <v>128</v>
      </c>
    </row>
    <row r="13" spans="1:10" x14ac:dyDescent="0.2">
      <c r="A13" s="3" t="s">
        <v>18</v>
      </c>
      <c r="C13" t="str">
        <f t="shared" ref="C13:C19" si="1">TEXT(A13,"")</f>
        <v>Bangalore</v>
      </c>
    </row>
    <row r="14" spans="1:10" x14ac:dyDescent="0.2">
      <c r="A14" s="3" t="s">
        <v>38</v>
      </c>
      <c r="C14" t="str">
        <f t="shared" si="1"/>
        <v>Chennai</v>
      </c>
    </row>
    <row r="15" spans="1:10" x14ac:dyDescent="0.2">
      <c r="A15" s="3" t="s">
        <v>22</v>
      </c>
      <c r="C15" t="str">
        <f t="shared" si="1"/>
        <v>Delhi</v>
      </c>
    </row>
    <row r="16" spans="1:10" x14ac:dyDescent="0.2">
      <c r="A16" s="3" t="s">
        <v>12</v>
      </c>
      <c r="C16" t="str">
        <f t="shared" si="1"/>
        <v>Hyderabad</v>
      </c>
    </row>
    <row r="17" spans="1:3" x14ac:dyDescent="0.2">
      <c r="A17" s="3" t="s">
        <v>35</v>
      </c>
      <c r="C17" t="str">
        <f t="shared" si="1"/>
        <v>Kolkata</v>
      </c>
    </row>
    <row r="18" spans="1:3" x14ac:dyDescent="0.2">
      <c r="A18" s="3" t="s">
        <v>27</v>
      </c>
      <c r="C18" t="str">
        <f t="shared" si="1"/>
        <v>Mumbai</v>
      </c>
    </row>
    <row r="19" spans="1:3" x14ac:dyDescent="0.2">
      <c r="A19" s="3" t="s">
        <v>31</v>
      </c>
      <c r="C19" t="str">
        <f t="shared" si="1"/>
        <v>Pune</v>
      </c>
    </row>
    <row r="20" spans="1:3" x14ac:dyDescent="0.2">
      <c r="A20" s="3" t="s">
        <v>129</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FAB3-E056-7146-A253-409C37CFAEE7}">
  <dimension ref="A3:B7"/>
  <sheetViews>
    <sheetView workbookViewId="0">
      <selection activeCell="D1" sqref="D1"/>
    </sheetView>
  </sheetViews>
  <sheetFormatPr baseColWidth="10" defaultRowHeight="15" x14ac:dyDescent="0.2"/>
  <cols>
    <col min="1" max="1" width="12.1640625" bestFit="1" customWidth="1"/>
    <col min="2" max="2" width="14.6640625" bestFit="1" customWidth="1"/>
    <col min="3" max="3" width="13.5" bestFit="1" customWidth="1"/>
    <col min="4" max="4" width="10" bestFit="1" customWidth="1"/>
    <col min="5" max="5" width="12.1640625" bestFit="1" customWidth="1"/>
    <col min="6" max="6" width="13.5" bestFit="1" customWidth="1"/>
    <col min="7" max="7" width="11" bestFit="1" customWidth="1"/>
    <col min="10" max="10" width="12.1640625" bestFit="1" customWidth="1"/>
    <col min="11" max="11" width="14.6640625" bestFit="1" customWidth="1"/>
  </cols>
  <sheetData>
    <row r="3" spans="1:2" x14ac:dyDescent="0.2">
      <c r="A3" s="2" t="s">
        <v>128</v>
      </c>
      <c r="B3" t="s">
        <v>132</v>
      </c>
    </row>
    <row r="4" spans="1:2" x14ac:dyDescent="0.2">
      <c r="A4" s="3" t="s">
        <v>13</v>
      </c>
      <c r="B4">
        <v>80765</v>
      </c>
    </row>
    <row r="5" spans="1:2" x14ac:dyDescent="0.2">
      <c r="A5" s="3" t="s">
        <v>23</v>
      </c>
      <c r="B5">
        <v>24276</v>
      </c>
    </row>
    <row r="6" spans="1:2" x14ac:dyDescent="0.2">
      <c r="A6" s="3" t="s">
        <v>28</v>
      </c>
      <c r="B6">
        <v>21714</v>
      </c>
    </row>
    <row r="7" spans="1:2" x14ac:dyDescent="0.2">
      <c r="A7" s="3" t="s">
        <v>129</v>
      </c>
      <c r="B7">
        <v>126755</v>
      </c>
    </row>
  </sheetData>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1B3C-E04D-E749-9757-045EC832DD20}">
  <dimension ref="C8:D12"/>
  <sheetViews>
    <sheetView topLeftCell="A6" workbookViewId="0">
      <selection activeCell="D26" sqref="D26"/>
    </sheetView>
  </sheetViews>
  <sheetFormatPr baseColWidth="10" defaultRowHeight="15" x14ac:dyDescent="0.2"/>
  <cols>
    <col min="3" max="3" width="12.1640625" bestFit="1" customWidth="1"/>
    <col min="4" max="4" width="13.5" bestFit="1" customWidth="1"/>
  </cols>
  <sheetData>
    <row r="8" spans="3:4" x14ac:dyDescent="0.2">
      <c r="C8" s="2" t="s">
        <v>128</v>
      </c>
      <c r="D8" t="s">
        <v>134</v>
      </c>
    </row>
    <row r="9" spans="3:4" x14ac:dyDescent="0.2">
      <c r="C9" s="3" t="s">
        <v>46</v>
      </c>
      <c r="D9">
        <v>1</v>
      </c>
    </row>
    <row r="10" spans="3:4" x14ac:dyDescent="0.2">
      <c r="C10" s="3" t="s">
        <v>16</v>
      </c>
      <c r="D10">
        <v>93</v>
      </c>
    </row>
    <row r="11" spans="3:4" x14ac:dyDescent="0.2">
      <c r="C11" s="3" t="s">
        <v>33</v>
      </c>
      <c r="D11">
        <v>1</v>
      </c>
    </row>
    <row r="12" spans="3:4" x14ac:dyDescent="0.2">
      <c r="C12" s="3" t="s">
        <v>129</v>
      </c>
      <c r="D12">
        <v>95</v>
      </c>
    </row>
  </sheetData>
  <pageMargins left="0.7" right="0.7" top="0.75" bottom="0.75" header="0.3" footer="0.3"/>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5A9A-6C9C-FE47-BF01-6E2A8F228C92}">
  <dimension ref="B4:D8"/>
  <sheetViews>
    <sheetView workbookViewId="0">
      <selection activeCell="J6" sqref="J6"/>
    </sheetView>
  </sheetViews>
  <sheetFormatPr baseColWidth="10" defaultRowHeight="15" x14ac:dyDescent="0.2"/>
  <cols>
    <col min="2" max="2" width="12.1640625" bestFit="1" customWidth="1"/>
    <col min="3" max="3" width="14.6640625" bestFit="1" customWidth="1"/>
    <col min="4" max="4" width="11" bestFit="1" customWidth="1"/>
  </cols>
  <sheetData>
    <row r="4" spans="2:4" x14ac:dyDescent="0.2">
      <c r="B4" s="2" t="s">
        <v>128</v>
      </c>
      <c r="C4" t="s">
        <v>132</v>
      </c>
      <c r="D4" t="s">
        <v>130</v>
      </c>
    </row>
    <row r="5" spans="2:4" x14ac:dyDescent="0.2">
      <c r="B5" s="3" t="s">
        <v>13</v>
      </c>
      <c r="C5">
        <v>80765</v>
      </c>
      <c r="D5">
        <v>14661</v>
      </c>
    </row>
    <row r="6" spans="2:4" x14ac:dyDescent="0.2">
      <c r="B6" s="3" t="s">
        <v>23</v>
      </c>
      <c r="C6">
        <v>24276</v>
      </c>
      <c r="D6">
        <v>4850</v>
      </c>
    </row>
    <row r="7" spans="2:4" x14ac:dyDescent="0.2">
      <c r="B7" s="3" t="s">
        <v>28</v>
      </c>
      <c r="C7">
        <v>21714</v>
      </c>
      <c r="D7">
        <v>3960</v>
      </c>
    </row>
    <row r="8" spans="2:4" x14ac:dyDescent="0.2">
      <c r="B8" s="3" t="s">
        <v>129</v>
      </c>
      <c r="C8">
        <v>126755</v>
      </c>
      <c r="D8">
        <v>23471</v>
      </c>
    </row>
  </sheetData>
  <pageMargins left="0.7" right="0.7" top="0.75" bottom="0.75" header="0.3" footer="0.3"/>
  <pageSetup paperSize="9"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02F3-DDA8-2A44-9054-BA745BAA7183}">
  <dimension ref="C9:D14"/>
  <sheetViews>
    <sheetView workbookViewId="0">
      <selection activeCell="C12" sqref="C12"/>
    </sheetView>
  </sheetViews>
  <sheetFormatPr baseColWidth="10" defaultRowHeight="15" x14ac:dyDescent="0.2"/>
  <cols>
    <col min="3" max="3" width="12.1640625" bestFit="1" customWidth="1"/>
    <col min="4" max="4" width="13.5" bestFit="1" customWidth="1"/>
    <col min="5" max="5" width="7" bestFit="1" customWidth="1"/>
    <col min="6" max="6" width="10.83203125" bestFit="1" customWidth="1"/>
    <col min="7" max="7" width="10" bestFit="1" customWidth="1"/>
    <col min="8" max="8" width="7.1640625" bestFit="1" customWidth="1"/>
    <col min="9" max="9" width="7.5" bestFit="1" customWidth="1"/>
    <col min="10" max="10" width="12.1640625" bestFit="1" customWidth="1"/>
    <col min="11" max="11" width="8" bestFit="1" customWidth="1"/>
    <col min="12" max="12" width="7.1640625" bestFit="1" customWidth="1"/>
    <col min="13" max="13" width="9.1640625" bestFit="1" customWidth="1"/>
    <col min="14" max="14" width="7.1640625" bestFit="1" customWidth="1"/>
    <col min="15" max="15" width="10.5" bestFit="1" customWidth="1"/>
    <col min="16" max="16" width="11.33203125" bestFit="1" customWidth="1"/>
    <col min="17" max="17" width="7.83203125" bestFit="1" customWidth="1"/>
    <col min="19" max="19" width="6" bestFit="1" customWidth="1"/>
    <col min="20" max="20" width="5.33203125" bestFit="1" customWidth="1"/>
    <col min="21" max="21" width="8.5" bestFit="1" customWidth="1"/>
    <col min="22" max="22" width="5" bestFit="1" customWidth="1"/>
    <col min="23" max="23" width="11.1640625" bestFit="1" customWidth="1"/>
    <col min="24" max="24" width="7.83203125" bestFit="1" customWidth="1"/>
    <col min="25" max="25" width="8" bestFit="1" customWidth="1"/>
    <col min="26" max="26" width="7.6640625" bestFit="1" customWidth="1"/>
    <col min="27" max="27" width="10.1640625" bestFit="1" customWidth="1"/>
    <col min="28" max="28" width="6.33203125" bestFit="1" customWidth="1"/>
    <col min="29" max="29" width="7.6640625" bestFit="1" customWidth="1"/>
    <col min="30" max="31" width="11" bestFit="1" customWidth="1"/>
    <col min="32" max="32" width="8.1640625" bestFit="1" customWidth="1"/>
    <col min="33" max="33" width="10.1640625" bestFit="1" customWidth="1"/>
    <col min="34" max="34" width="6.6640625" bestFit="1" customWidth="1"/>
    <col min="35" max="35" width="6.5" bestFit="1" customWidth="1"/>
    <col min="36" max="36" width="6.83203125" bestFit="1" customWidth="1"/>
    <col min="37" max="37" width="5.5" bestFit="1" customWidth="1"/>
    <col min="38" max="39" width="4.83203125" bestFit="1" customWidth="1"/>
    <col min="40" max="40" width="6" bestFit="1" customWidth="1"/>
    <col min="41" max="41" width="9.6640625" bestFit="1" customWidth="1"/>
    <col min="42" max="42" width="10.33203125" bestFit="1" customWidth="1"/>
    <col min="44" max="44" width="9.83203125" bestFit="1" customWidth="1"/>
    <col min="45" max="45" width="8.83203125" bestFit="1" customWidth="1"/>
    <col min="46" max="46" width="6" bestFit="1" customWidth="1"/>
    <col min="47" max="47" width="4" bestFit="1" customWidth="1"/>
    <col min="48" max="48" width="7.83203125" bestFit="1" customWidth="1"/>
    <col min="49" max="49" width="8.83203125" bestFit="1" customWidth="1"/>
    <col min="50" max="50" width="9.1640625" bestFit="1" customWidth="1"/>
    <col min="51" max="51" width="6.1640625" bestFit="1" customWidth="1"/>
    <col min="52" max="52" width="8" bestFit="1" customWidth="1"/>
    <col min="53" max="53" width="13.5" bestFit="1" customWidth="1"/>
    <col min="54" max="54" width="10" bestFit="1" customWidth="1"/>
  </cols>
  <sheetData>
    <row r="9" spans="3:4" x14ac:dyDescent="0.2">
      <c r="C9" s="2" t="s">
        <v>128</v>
      </c>
      <c r="D9" t="s">
        <v>134</v>
      </c>
    </row>
    <row r="10" spans="3:4" x14ac:dyDescent="0.2">
      <c r="C10" s="3">
        <v>0</v>
      </c>
      <c r="D10">
        <v>65</v>
      </c>
    </row>
    <row r="11" spans="3:4" x14ac:dyDescent="0.2">
      <c r="C11" s="3">
        <v>5</v>
      </c>
      <c r="D11">
        <v>22</v>
      </c>
    </row>
    <row r="12" spans="3:4" x14ac:dyDescent="0.2">
      <c r="C12" s="3">
        <v>8</v>
      </c>
      <c r="D12">
        <v>2</v>
      </c>
    </row>
    <row r="13" spans="3:4" x14ac:dyDescent="0.2">
      <c r="C13" s="3">
        <v>10</v>
      </c>
      <c r="D13">
        <v>6</v>
      </c>
    </row>
    <row r="14" spans="3:4" x14ac:dyDescent="0.2">
      <c r="C14" s="3" t="s">
        <v>129</v>
      </c>
      <c r="D14">
        <v>95</v>
      </c>
    </row>
  </sheetData>
  <pageMargins left="0.7" right="0.7" top="0.75" bottom="0.75" header="0.3" footer="0.3"/>
  <pageSetup paperSize="9"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BD56-FC1C-D743-9E3A-02795842B448}">
  <dimension ref="B5:C13"/>
  <sheetViews>
    <sheetView topLeftCell="A3" zoomScaleNormal="100" workbookViewId="0">
      <selection activeCell="F19" sqref="F19"/>
    </sheetView>
  </sheetViews>
  <sheetFormatPr baseColWidth="10" defaultRowHeight="15" x14ac:dyDescent="0.2"/>
  <cols>
    <col min="2" max="2" width="12.1640625" bestFit="1" customWidth="1"/>
    <col min="3" max="3" width="14.6640625" bestFit="1" customWidth="1"/>
  </cols>
  <sheetData>
    <row r="5" spans="2:3" x14ac:dyDescent="0.2">
      <c r="B5" s="2" t="s">
        <v>128</v>
      </c>
      <c r="C5" t="s">
        <v>132</v>
      </c>
    </row>
    <row r="6" spans="2:3" x14ac:dyDescent="0.2">
      <c r="B6" s="3" t="s">
        <v>18</v>
      </c>
      <c r="C6">
        <v>17889</v>
      </c>
    </row>
    <row r="7" spans="2:3" x14ac:dyDescent="0.2">
      <c r="B7" s="3" t="s">
        <v>38</v>
      </c>
      <c r="C7">
        <v>5937</v>
      </c>
    </row>
    <row r="8" spans="2:3" x14ac:dyDescent="0.2">
      <c r="B8" s="3" t="s">
        <v>22</v>
      </c>
      <c r="C8">
        <v>20487</v>
      </c>
    </row>
    <row r="9" spans="2:3" x14ac:dyDescent="0.2">
      <c r="B9" s="3" t="s">
        <v>12</v>
      </c>
      <c r="C9">
        <v>24288</v>
      </c>
    </row>
    <row r="10" spans="2:3" x14ac:dyDescent="0.2">
      <c r="B10" s="3" t="s">
        <v>35</v>
      </c>
      <c r="C10">
        <v>8585</v>
      </c>
    </row>
    <row r="11" spans="2:3" x14ac:dyDescent="0.2">
      <c r="B11" s="3" t="s">
        <v>27</v>
      </c>
      <c r="C11">
        <v>14585</v>
      </c>
    </row>
    <row r="12" spans="2:3" x14ac:dyDescent="0.2">
      <c r="B12" s="3" t="s">
        <v>31</v>
      </c>
      <c r="C12">
        <v>34984</v>
      </c>
    </row>
    <row r="13" spans="2:3" x14ac:dyDescent="0.2">
      <c r="B13" s="3" t="s">
        <v>129</v>
      </c>
      <c r="C13">
        <v>126755</v>
      </c>
    </row>
  </sheetData>
  <pageMargins left="0.7" right="0.7" top="0.75" bottom="0.75" header="0.3" footer="0.3"/>
  <pageSetup paperSize="9"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59D3-AD24-8849-8F56-0DB510FAE40A}">
  <dimension ref="B6:C10"/>
  <sheetViews>
    <sheetView workbookViewId="0">
      <selection activeCell="A30" sqref="A30"/>
    </sheetView>
  </sheetViews>
  <sheetFormatPr baseColWidth="10" defaultRowHeight="15" x14ac:dyDescent="0.2"/>
  <cols>
    <col min="2" max="2" width="12.1640625" bestFit="1" customWidth="1"/>
    <col min="3" max="3" width="20" bestFit="1" customWidth="1"/>
  </cols>
  <sheetData>
    <row r="6" spans="2:3" x14ac:dyDescent="0.2">
      <c r="B6" s="2" t="s">
        <v>128</v>
      </c>
      <c r="C6" t="s">
        <v>136</v>
      </c>
    </row>
    <row r="7" spans="2:3" x14ac:dyDescent="0.2">
      <c r="B7" s="3" t="s">
        <v>25</v>
      </c>
      <c r="C7">
        <v>14</v>
      </c>
    </row>
    <row r="8" spans="2:3" x14ac:dyDescent="0.2">
      <c r="B8" s="3" t="s">
        <v>20</v>
      </c>
      <c r="C8">
        <v>16</v>
      </c>
    </row>
    <row r="9" spans="2:3" x14ac:dyDescent="0.2">
      <c r="B9" s="3" t="s">
        <v>15</v>
      </c>
      <c r="C9">
        <v>20</v>
      </c>
    </row>
    <row r="10" spans="2:3" x14ac:dyDescent="0.2">
      <c r="B10" s="3" t="s">
        <v>129</v>
      </c>
      <c r="C10">
        <v>50</v>
      </c>
    </row>
  </sheetData>
  <pageMargins left="0.7" right="0.7" top="0.75" bottom="0.75" header="0.3" footer="0.3"/>
  <pageSetup paperSize="9" orientation="portrait" horizontalDpi="0" verticalDpi="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532C-CC3A-A549-8579-1FF0C910D5A3}">
  <dimension ref="B4:C8"/>
  <sheetViews>
    <sheetView workbookViewId="0">
      <selection activeCell="B4" sqref="B4:C8"/>
    </sheetView>
  </sheetViews>
  <sheetFormatPr baseColWidth="10" defaultRowHeight="15" x14ac:dyDescent="0.2"/>
  <cols>
    <col min="2" max="2" width="12.1640625" bestFit="1" customWidth="1"/>
    <col min="3" max="3" width="17.83203125" bestFit="1" customWidth="1"/>
  </cols>
  <sheetData>
    <row r="4" spans="2:3" x14ac:dyDescent="0.2">
      <c r="B4" s="2" t="s">
        <v>128</v>
      </c>
      <c r="C4" t="s">
        <v>133</v>
      </c>
    </row>
    <row r="5" spans="2:3" x14ac:dyDescent="0.2">
      <c r="B5" s="3" t="s">
        <v>13</v>
      </c>
      <c r="C5">
        <v>4038.25</v>
      </c>
    </row>
    <row r="6" spans="2:3" x14ac:dyDescent="0.2">
      <c r="B6" s="3" t="s">
        <v>23</v>
      </c>
      <c r="C6">
        <v>1517.25</v>
      </c>
    </row>
    <row r="7" spans="2:3" x14ac:dyDescent="0.2">
      <c r="B7" s="3" t="s">
        <v>28</v>
      </c>
      <c r="C7">
        <v>1551</v>
      </c>
    </row>
    <row r="8" spans="2:3" x14ac:dyDescent="0.2">
      <c r="B8" s="3" t="s">
        <v>129</v>
      </c>
      <c r="C8">
        <v>2535.1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Sales_Data</vt:lpstr>
      <vt:lpstr>Dash_board</vt:lpstr>
      <vt:lpstr>KPIs Card</vt:lpstr>
      <vt:lpstr>Pivot Tables</vt:lpstr>
      <vt:lpstr>Order_status</vt:lpstr>
      <vt:lpstr>Cat_Sale_Profit</vt:lpstr>
      <vt:lpstr>sale_by_dis</vt:lpstr>
      <vt:lpstr>Total_sales_City</vt:lpstr>
      <vt:lpstr>Payment_method</vt:lpstr>
      <vt:lpstr>Avg_sales_cat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3420</dc:creator>
  <cp:lastModifiedBy>bhavani chary chityala</cp:lastModifiedBy>
  <cp:lastPrinted>2025-11-29T06:19:09Z</cp:lastPrinted>
  <dcterms:created xsi:type="dcterms:W3CDTF">2025-11-25T10:54:33Z</dcterms:created>
  <dcterms:modified xsi:type="dcterms:W3CDTF">2026-02-09T11:38:46Z</dcterms:modified>
</cp:coreProperties>
</file>